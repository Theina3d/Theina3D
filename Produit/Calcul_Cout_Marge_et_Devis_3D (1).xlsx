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Theina3D\Theina3D\Produit\"/>
    </mc:Choice>
  </mc:AlternateContent>
  <xr:revisionPtr revIDLastSave="0" documentId="8_{310397B3-5277-452A-AD97-FC4574DAEDDF}" xr6:coauthVersionLast="47" xr6:coauthVersionMax="47" xr10:uidLastSave="{00000000-0000-0000-0000-000000000000}"/>
  <bookViews>
    <workbookView xWindow="-120" yWindow="-120" windowWidth="29040" windowHeight="15720" xr2:uid="{00000000-000D-0000-FFFF-FFFF00000000}"/>
  </bookViews>
  <sheets>
    <sheet name="Calculs &amp; Barème" sheetId="1" r:id="rId1"/>
    <sheet name="Devis Clie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 l="1"/>
  <c r="F12" i="2" s="1"/>
  <c r="E11" i="2"/>
  <c r="F11" i="2" s="1"/>
  <c r="F10" i="2"/>
  <c r="E9" i="2"/>
  <c r="F9" i="2" s="1"/>
  <c r="F14" i="2" s="1"/>
  <c r="F16" i="2" s="1"/>
  <c r="D31" i="1"/>
  <c r="D30" i="1"/>
  <c r="F25" i="1"/>
  <c r="D24" i="1"/>
  <c r="D23" i="1"/>
  <c r="D22" i="1"/>
  <c r="D25" i="1" s="1"/>
  <c r="G25" i="1" s="1"/>
  <c r="F16" i="1"/>
  <c r="G16" i="1" s="1"/>
  <c r="D16" i="1"/>
  <c r="F15" i="1"/>
  <c r="G15" i="1" s="1"/>
  <c r="D15" i="1"/>
  <c r="F14" i="1"/>
  <c r="D14" i="1"/>
  <c r="G14" i="1" s="1"/>
  <c r="F13" i="1"/>
  <c r="D13" i="1"/>
  <c r="G13" i="1" s="1"/>
</calcChain>
</file>

<file path=xl/sharedStrings.xml><?xml version="1.0" encoding="utf-8"?>
<sst xmlns="http://schemas.openxmlformats.org/spreadsheetml/2006/main" count="79" uniqueCount="73">
  <si>
    <t>PARAMÈTRES DE CALCUL, COÛTS DE REVIENT &amp; MARGES</t>
  </si>
  <si>
    <t>1. Taux de Cotisation, Électricité &amp; Usure Machine</t>
  </si>
  <si>
    <t>Désignation</t>
  </si>
  <si>
    <t>Valeur</t>
  </si>
  <si>
    <t>Unité / Note</t>
  </si>
  <si>
    <t>Taux de cotisation sociale</t>
  </si>
  <si>
    <t>Taux URSSAF / Micro-entreprise</t>
  </si>
  <si>
    <t>Coût usure machine / heure</t>
  </si>
  <si>
    <t>Maintenance + amortissement machine</t>
  </si>
  <si>
    <t>Prix du kWh d'électricité</t>
  </si>
  <si>
    <t>Tarif moyen TTC du kWh</t>
  </si>
  <si>
    <t>Consommation moyenne imprimante</t>
  </si>
  <si>
    <t>Puissance moyenne en Watts (W)</t>
  </si>
  <si>
    <t>Prix filament PLA / kg</t>
  </si>
  <si>
    <t>Prix moyen bobine 1kg</t>
  </si>
  <si>
    <t>2. Grille Tarifaire Conception CAO / 3D</t>
  </si>
  <si>
    <t>Prestation</t>
  </si>
  <si>
    <t>Taux Horaire (€/h)</t>
  </si>
  <si>
    <t>Temps (h)</t>
  </si>
  <si>
    <t>Coût de Revient</t>
  </si>
  <si>
    <t>Prix de Vente (PV)</t>
  </si>
  <si>
    <t>Cotisations URSSAF</t>
  </si>
  <si>
    <t>Marge Nette</t>
  </si>
  <si>
    <t>Conception simple</t>
  </si>
  <si>
    <t>Reproduction technique</t>
  </si>
  <si>
    <t>Conception technique</t>
  </si>
  <si>
    <t>Livraison des fichiers (STEP, STL, DWG)</t>
  </si>
  <si>
    <t>3. Calculateur Impression Prototype 3D</t>
  </si>
  <si>
    <t>Paramètre Impression</t>
  </si>
  <si>
    <t>Unité / Formule</t>
  </si>
  <si>
    <t>Calcul Coût de Revient</t>
  </si>
  <si>
    <t>Prix de Vente Estimé</t>
  </si>
  <si>
    <t>Poids de filament utilisé</t>
  </si>
  <si>
    <t>grammes (g)</t>
  </si>
  <si>
    <t>Temps d'impression</t>
  </si>
  <si>
    <t>06:31:00</t>
  </si>
  <si>
    <t>hh:mm:ss</t>
  </si>
  <si>
    <t>Coût Matière (Filament)</t>
  </si>
  <si>
    <t>Coût Électricité</t>
  </si>
  <si>
    <t>Coût Usure &amp; Maintenance Machine</t>
  </si>
  <si>
    <t>TOTAL Impression Prototype</t>
  </si>
  <si>
    <t>4. Grille Expédition &amp; Livraison Proto</t>
  </si>
  <si>
    <t>Type Colis / Tranche</t>
  </si>
  <si>
    <t>Payé au Fournisseur (€)</t>
  </si>
  <si>
    <t>Facturé au Client (€)</t>
  </si>
  <si>
    <t>Marge Livraison (€)</t>
  </si>
  <si>
    <t>Colis &lt; 1kg</t>
  </si>
  <si>
    <t>1kg &lt; Colis &lt; 3kg</t>
  </si>
  <si>
    <t>DEVIS DE PRESTATION &amp; PROTOTYPAGE 3D</t>
  </si>
  <si>
    <t>INFORMATIONS PRESTATAIRE</t>
  </si>
  <si>
    <t>INFORMATIONS CLIENT</t>
  </si>
  <si>
    <t>Mon Entreprise 3D / Design
Adresse : 123 Rue de l'Innovation
Email : contact@monentreprise3d.fr
N° SIRET : 123 456 789 00012</t>
  </si>
  <si>
    <t>Nom Client / Société : Client exemple
Adresse : 45 Avenue des Projets
Email : client@email.com
Date du devis : 21/07/2026
N° Devis : DEV-2026-001</t>
  </si>
  <si>
    <t>SÉLECTION ET DÉTAIL DES PRESTATIONS</t>
  </si>
  <si>
    <t>Réf / Item</t>
  </si>
  <si>
    <t>Description de la prestation</t>
  </si>
  <si>
    <t>Inclus / Option</t>
  </si>
  <si>
    <t>Qté</t>
  </si>
  <si>
    <t>Prix Unitaire HT</t>
  </si>
  <si>
    <t>Total HT</t>
  </si>
  <si>
    <t>CAD-01</t>
  </si>
  <si>
    <t>Prestation de conception / modélisation 3D</t>
  </si>
  <si>
    <t>CAD-DEL</t>
  </si>
  <si>
    <t>Livraison des fichiers sources &amp; fabrication (STEP, STL, DWG)</t>
  </si>
  <si>
    <t>Oui</t>
  </si>
  <si>
    <t>PRT-3D</t>
  </si>
  <si>
    <t>Impression 3D - Prototype physique (Cotation estimée)</t>
  </si>
  <si>
    <t>SHP-01</t>
  </si>
  <si>
    <t>Frais de port &amp; emballage sécurisé (Colis &lt; 1kg)</t>
  </si>
  <si>
    <t>Total HT :</t>
  </si>
  <si>
    <t>TVA (Franchise) :</t>
  </si>
  <si>
    <t>Net à payer (€) :</t>
  </si>
  <si>
    <t>NOTE IMPORTANTE CONCERNANT LE PROTOTYPE 3D :
Le chiffrage du prototype imprimé (option PRT-3D) est une estimation prévisionnelle basée sur l'analyse initiale de votre besoin.
Le fichier 3D définitif n'étant pas encore généré au moment de ce devis, le montant du prototype est délibérément estimé avec une marge de sécurité. Lors de la livraison finale du fichier et du lancement de l'impression, le tarif pourra être RÉAJUSTÉ À LA BAISSE si le coût de revient réel (temps d'impression effectif, consommation électrique et poids de matière) s'avère inférieur aux prévisions.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</si>
</sst>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
  </numFmts>
  <fonts count="7" x14ac:knownFonts="1">
    <font>
      <sz val="11"/>
      <color theme="1"/>
      <name val="Calibri"/>
      <family val="2"/>
      <scheme val="minor"/>
    </font>
    <font>
      <b/>
      <sz val="16"/>
      <color rgb="FFFFFFFF"/>
      <name val="Calibri"/>
    </font>
    <font>
      <b/>
      <sz val="12"/>
      <color rgb="FF1B365D"/>
      <name val="Calibri"/>
    </font>
    <font>
      <b/>
      <sz val="11"/>
      <color rgb="FFFFFFFF"/>
      <name val="Calibri"/>
    </font>
    <font>
      <sz val="11"/>
      <color rgb="FF0F172A"/>
      <name val="Calibri"/>
    </font>
    <font>
      <b/>
      <sz val="11"/>
      <color rgb="FF0F172A"/>
      <name val="Calibri"/>
    </font>
    <font>
      <i/>
      <sz val="9"/>
      <color rgb="FF475569"/>
      <name val="Calibri"/>
    </font>
  </fonts>
  <fills count="5">
    <fill>
      <patternFill patternType="none"/>
    </fill>
    <fill>
      <patternFill patternType="gray125"/>
    </fill>
    <fill>
      <patternFill patternType="solid">
        <fgColor rgb="FF1B365D"/>
        <bgColor rgb="FF1B365D"/>
      </patternFill>
    </fill>
    <fill>
      <patternFill patternType="solid">
        <fgColor rgb="FFFEF3C7"/>
        <bgColor rgb="FFFEF3C7"/>
      </patternFill>
    </fill>
    <fill>
      <patternFill patternType="solid">
        <fgColor rgb="FFF1F5F9"/>
        <bgColor rgb="FFF1F5F9"/>
      </patternFill>
    </fill>
  </fills>
  <borders count="3">
    <border>
      <left/>
      <right/>
      <top/>
      <bottom/>
      <diagonal/>
    </border>
    <border>
      <left style="thin">
        <color rgb="FFCBD5E1"/>
      </left>
      <right style="thin">
        <color rgb="FFCBD5E1"/>
      </right>
      <top style="thin">
        <color rgb="FFCBD5E1"/>
      </top>
      <bottom style="medium">
        <color rgb="FF1B365D"/>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6">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2" xfId="0" applyFont="1" applyBorder="1"/>
    <xf numFmtId="164" fontId="5" fillId="3" borderId="2" xfId="0" applyNumberFormat="1" applyFont="1" applyFill="1" applyBorder="1" applyAlignment="1">
      <alignment horizontal="right" vertical="center"/>
    </xf>
    <xf numFmtId="0" fontId="6" fillId="0" borderId="2" xfId="0" applyFont="1" applyBorder="1"/>
    <xf numFmtId="165" fontId="5" fillId="3" borderId="2" xfId="0" applyNumberFormat="1" applyFont="1" applyFill="1" applyBorder="1" applyAlignment="1">
      <alignment horizontal="right" vertical="center"/>
    </xf>
    <xf numFmtId="3" fontId="5" fillId="3" borderId="2" xfId="0" applyNumberFormat="1" applyFont="1" applyFill="1" applyBorder="1" applyAlignment="1">
      <alignment horizontal="right" vertical="center"/>
    </xf>
    <xf numFmtId="0" fontId="4" fillId="0" borderId="2" xfId="0" applyFont="1" applyBorder="1" applyAlignment="1">
      <alignment horizontal="left" vertical="center"/>
    </xf>
    <xf numFmtId="165" fontId="0" fillId="3" borderId="2" xfId="0" applyNumberFormat="1" applyFill="1" applyBorder="1" applyAlignment="1">
      <alignment horizontal="right" vertical="center"/>
    </xf>
    <xf numFmtId="2" fontId="0" fillId="3" borderId="2" xfId="0" applyNumberFormat="1" applyFill="1" applyBorder="1" applyAlignment="1">
      <alignment horizontal="right" vertical="center"/>
    </xf>
    <xf numFmtId="165" fontId="0" fillId="0" borderId="2" xfId="0" applyNumberFormat="1" applyBorder="1" applyAlignment="1">
      <alignment horizontal="right" vertical="center"/>
    </xf>
    <xf numFmtId="2" fontId="0" fillId="0" borderId="2" xfId="0" applyNumberFormat="1" applyBorder="1" applyAlignment="1">
      <alignment horizontal="right" vertical="center"/>
    </xf>
    <xf numFmtId="3" fontId="5" fillId="3" borderId="2" xfId="0" applyNumberFormat="1" applyFont="1" applyFill="1" applyBorder="1"/>
    <xf numFmtId="0" fontId="0" fillId="0" borderId="2" xfId="0" applyBorder="1"/>
    <xf numFmtId="0" fontId="5" fillId="3" borderId="2" xfId="0" applyFont="1" applyFill="1" applyBorder="1"/>
    <xf numFmtId="165" fontId="0" fillId="0" borderId="2" xfId="0" applyNumberFormat="1" applyBorder="1"/>
    <xf numFmtId="0" fontId="5" fillId="0" borderId="2" xfId="0" applyFont="1" applyBorder="1"/>
    <xf numFmtId="165" fontId="5" fillId="3" borderId="2" xfId="0" applyNumberFormat="1" applyFont="1" applyFill="1" applyBorder="1"/>
    <xf numFmtId="165" fontId="0" fillId="3" borderId="2" xfId="0" applyNumberFormat="1" applyFill="1" applyBorder="1"/>
    <xf numFmtId="0" fontId="4" fillId="0" borderId="0" xfId="0" applyFont="1" applyAlignment="1">
      <alignment vertical="top" wrapText="1"/>
    </xf>
    <xf numFmtId="0" fontId="4" fillId="0" borderId="2" xfId="0" applyFont="1" applyBorder="1" applyAlignment="1">
      <alignment horizontal="center" vertical="center"/>
    </xf>
    <xf numFmtId="0" fontId="5" fillId="3" borderId="2" xfId="0" applyFont="1" applyFill="1" applyBorder="1" applyAlignment="1">
      <alignment horizontal="center" vertical="center"/>
    </xf>
    <xf numFmtId="3" fontId="0" fillId="0" borderId="2" xfId="0" applyNumberFormat="1" applyBorder="1" applyAlignment="1">
      <alignment horizontal="center" vertical="center"/>
    </xf>
    <xf numFmtId="0" fontId="4" fillId="3" borderId="2" xfId="0" applyFont="1" applyFill="1" applyBorder="1" applyAlignment="1">
      <alignment horizontal="center" vertical="center"/>
    </xf>
    <xf numFmtId="0" fontId="5" fillId="0" borderId="0" xfId="0" applyFont="1" applyAlignment="1">
      <alignment horizontal="right" vertical="center"/>
    </xf>
    <xf numFmtId="165" fontId="5" fillId="0" borderId="2" xfId="0" applyNumberFormat="1" applyFont="1" applyBorder="1"/>
    <xf numFmtId="0" fontId="4" fillId="0" borderId="0" xfId="0" applyFont="1" applyAlignment="1">
      <alignment horizontal="right" vertical="center"/>
    </xf>
    <xf numFmtId="165" fontId="4" fillId="0" borderId="2" xfId="0" applyNumberFormat="1" applyFont="1" applyBorder="1"/>
    <xf numFmtId="0" fontId="1" fillId="2" borderId="0" xfId="0" applyFont="1" applyFill="1" applyAlignment="1">
      <alignment horizontal="right" vertical="center"/>
    </xf>
    <xf numFmtId="165" fontId="1" fillId="2" borderId="0" xfId="0" applyNumberFormat="1" applyFont="1" applyFill="1" applyAlignment="1">
      <alignment horizontal="right" vertical="center"/>
    </xf>
    <xf numFmtId="0" fontId="1" fillId="2" borderId="0" xfId="0" applyFont="1" applyFill="1" applyAlignment="1">
      <alignment horizontal="center" vertical="center"/>
    </xf>
    <xf numFmtId="0" fontId="0" fillId="0" borderId="0" xfId="0"/>
    <xf numFmtId="0" fontId="2" fillId="0" borderId="0" xfId="0" applyFont="1"/>
    <xf numFmtId="0" fontId="6" fillId="4" borderId="2" xfId="0" applyFont="1" applyFill="1" applyBorder="1" applyAlignment="1">
      <alignment vertical="top"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D23" sqref="D23"/>
    </sheetView>
  </sheetViews>
  <sheetFormatPr baseColWidth="10" defaultColWidth="9.140625" defaultRowHeight="15" x14ac:dyDescent="0.25"/>
  <cols>
    <col min="1" max="1" width="38" customWidth="1"/>
    <col min="2" max="2" width="16" customWidth="1"/>
    <col min="3" max="3" width="28" customWidth="1"/>
    <col min="4" max="7" width="18" customWidth="1"/>
  </cols>
  <sheetData>
    <row r="1" spans="1:7" ht="39.950000000000003" customHeight="1" x14ac:dyDescent="0.25">
      <c r="A1" s="31" t="s">
        <v>0</v>
      </c>
      <c r="B1" s="32"/>
      <c r="C1" s="32"/>
      <c r="D1" s="32"/>
      <c r="E1" s="32"/>
      <c r="F1" s="32"/>
      <c r="G1" s="32"/>
    </row>
    <row r="3" spans="1:7" ht="15.75" x14ac:dyDescent="0.25">
      <c r="A3" s="33" t="s">
        <v>1</v>
      </c>
      <c r="B3" s="32"/>
      <c r="C3" s="32"/>
    </row>
    <row r="4" spans="1:7" x14ac:dyDescent="0.25">
      <c r="A4" s="2" t="s">
        <v>2</v>
      </c>
      <c r="B4" s="2" t="s">
        <v>3</v>
      </c>
      <c r="C4" s="2" t="s">
        <v>4</v>
      </c>
    </row>
    <row r="5" spans="1:7" x14ac:dyDescent="0.25">
      <c r="A5" s="3" t="s">
        <v>5</v>
      </c>
      <c r="B5" s="4">
        <v>0.21199999999999999</v>
      </c>
      <c r="C5" s="5" t="s">
        <v>6</v>
      </c>
    </row>
    <row r="6" spans="1:7" x14ac:dyDescent="0.25">
      <c r="A6" s="3" t="s">
        <v>7</v>
      </c>
      <c r="B6" s="6">
        <v>0.5</v>
      </c>
      <c r="C6" s="5" t="s">
        <v>8</v>
      </c>
    </row>
    <row r="7" spans="1:7" x14ac:dyDescent="0.25">
      <c r="A7" s="3" t="s">
        <v>9</v>
      </c>
      <c r="B7" s="6">
        <v>0.25</v>
      </c>
      <c r="C7" s="5" t="s">
        <v>10</v>
      </c>
    </row>
    <row r="8" spans="1:7" x14ac:dyDescent="0.25">
      <c r="A8" s="3" t="s">
        <v>11</v>
      </c>
      <c r="B8" s="7">
        <v>150</v>
      </c>
      <c r="C8" s="5" t="s">
        <v>12</v>
      </c>
    </row>
    <row r="9" spans="1:7" x14ac:dyDescent="0.25">
      <c r="A9" s="3" t="s">
        <v>13</v>
      </c>
      <c r="B9" s="6">
        <v>20</v>
      </c>
      <c r="C9" s="5" t="s">
        <v>14</v>
      </c>
    </row>
    <row r="11" spans="1:7" ht="15.75" x14ac:dyDescent="0.25">
      <c r="A11" s="33" t="s">
        <v>15</v>
      </c>
      <c r="B11" s="32"/>
      <c r="C11" s="32"/>
      <c r="D11" s="32"/>
      <c r="E11" s="32"/>
      <c r="F11" s="32"/>
      <c r="G11" s="32"/>
    </row>
    <row r="12" spans="1:7" x14ac:dyDescent="0.25">
      <c r="A12" s="2" t="s">
        <v>16</v>
      </c>
      <c r="B12" s="2" t="s">
        <v>17</v>
      </c>
      <c r="C12" s="2" t="s">
        <v>18</v>
      </c>
      <c r="D12" s="2" t="s">
        <v>19</v>
      </c>
      <c r="E12" s="2" t="s">
        <v>20</v>
      </c>
      <c r="F12" s="2" t="s">
        <v>21</v>
      </c>
      <c r="G12" s="2" t="s">
        <v>22</v>
      </c>
    </row>
    <row r="13" spans="1:7" x14ac:dyDescent="0.25">
      <c r="A13" s="8" t="s">
        <v>23</v>
      </c>
      <c r="B13" s="9">
        <v>15</v>
      </c>
      <c r="C13" s="10">
        <v>0.5</v>
      </c>
      <c r="D13" s="11">
        <f>B13*C13</f>
        <v>7.5</v>
      </c>
      <c r="E13" s="9">
        <v>15</v>
      </c>
      <c r="F13" s="11">
        <f>E13*$B$5</f>
        <v>3.1799999999999997</v>
      </c>
      <c r="G13" s="11">
        <f>E13-D13-F13</f>
        <v>4.32</v>
      </c>
    </row>
    <row r="14" spans="1:7" x14ac:dyDescent="0.25">
      <c r="A14" s="8" t="s">
        <v>24</v>
      </c>
      <c r="B14" s="9">
        <v>20</v>
      </c>
      <c r="C14" s="10">
        <v>1</v>
      </c>
      <c r="D14" s="11">
        <f>B14*C14</f>
        <v>20</v>
      </c>
      <c r="E14" s="9">
        <v>30</v>
      </c>
      <c r="F14" s="11">
        <f>E14*$B$5</f>
        <v>6.3599999999999994</v>
      </c>
      <c r="G14" s="11">
        <f>E14-D14-F14</f>
        <v>3.6400000000000006</v>
      </c>
    </row>
    <row r="15" spans="1:7" x14ac:dyDescent="0.25">
      <c r="A15" s="8" t="s">
        <v>25</v>
      </c>
      <c r="B15" s="9">
        <v>20</v>
      </c>
      <c r="C15" s="10">
        <v>2</v>
      </c>
      <c r="D15" s="11">
        <f>B15*C15</f>
        <v>40</v>
      </c>
      <c r="E15" s="9">
        <v>45</v>
      </c>
      <c r="F15" s="11">
        <f>E15*$B$5</f>
        <v>9.5399999999999991</v>
      </c>
      <c r="G15" s="11">
        <f>E15-D15-F15</f>
        <v>-4.5399999999999991</v>
      </c>
    </row>
    <row r="16" spans="1:7" x14ac:dyDescent="0.25">
      <c r="A16" s="8" t="s">
        <v>26</v>
      </c>
      <c r="B16" s="11">
        <v>0</v>
      </c>
      <c r="C16" s="12">
        <v>0</v>
      </c>
      <c r="D16" s="11">
        <f>B16*C16</f>
        <v>0</v>
      </c>
      <c r="E16" s="11">
        <v>0</v>
      </c>
      <c r="F16" s="11">
        <f>E16*$B$5</f>
        <v>0</v>
      </c>
      <c r="G16" s="11">
        <f>E16-D16-F16</f>
        <v>0</v>
      </c>
    </row>
    <row r="18" spans="1:7" ht="15.75" x14ac:dyDescent="0.25">
      <c r="A18" s="33" t="s">
        <v>27</v>
      </c>
      <c r="B18" s="32"/>
      <c r="C18" s="32"/>
      <c r="D18" s="32"/>
      <c r="E18" s="32"/>
      <c r="F18" s="32"/>
      <c r="G18" s="32"/>
    </row>
    <row r="19" spans="1:7" x14ac:dyDescent="0.25">
      <c r="A19" s="2" t="s">
        <v>28</v>
      </c>
      <c r="B19" s="2" t="s">
        <v>3</v>
      </c>
      <c r="C19" s="2" t="s">
        <v>29</v>
      </c>
      <c r="D19" s="2" t="s">
        <v>30</v>
      </c>
      <c r="E19" s="2" t="s">
        <v>31</v>
      </c>
      <c r="F19" s="2" t="s">
        <v>21</v>
      </c>
      <c r="G19" s="2" t="s">
        <v>22</v>
      </c>
    </row>
    <row r="20" spans="1:7" x14ac:dyDescent="0.25">
      <c r="A20" s="3" t="s">
        <v>32</v>
      </c>
      <c r="B20" s="13">
        <v>150</v>
      </c>
      <c r="C20" s="5" t="s">
        <v>33</v>
      </c>
      <c r="D20" s="14"/>
      <c r="E20" s="14"/>
      <c r="F20" s="14"/>
      <c r="G20" s="14"/>
    </row>
    <row r="21" spans="1:7" x14ac:dyDescent="0.25">
      <c r="A21" s="3" t="s">
        <v>34</v>
      </c>
      <c r="B21" s="15" t="s">
        <v>35</v>
      </c>
      <c r="C21" s="5" t="s">
        <v>36</v>
      </c>
      <c r="D21" s="14"/>
      <c r="E21" s="14"/>
      <c r="F21" s="14"/>
      <c r="G21" s="14"/>
    </row>
    <row r="22" spans="1:7" x14ac:dyDescent="0.25">
      <c r="A22" s="3" t="s">
        <v>37</v>
      </c>
      <c r="B22" s="14"/>
      <c r="C22" s="14"/>
      <c r="D22" s="16">
        <f>(B20/1000)*$B$9</f>
        <v>3</v>
      </c>
      <c r="E22" s="14"/>
      <c r="F22" s="14"/>
      <c r="G22" s="14"/>
    </row>
    <row r="23" spans="1:7" x14ac:dyDescent="0.25">
      <c r="A23" s="3" t="s">
        <v>38</v>
      </c>
      <c r="B23" s="14"/>
      <c r="C23" s="14"/>
      <c r="D23" s="16">
        <f>((HOUR(B21)+MINUTE(B21)/60)*($B$8/1000))*$B$7</f>
        <v>0.24437499999999998</v>
      </c>
      <c r="E23" s="14"/>
      <c r="F23" s="14"/>
      <c r="G23" s="14"/>
    </row>
    <row r="24" spans="1:7" x14ac:dyDescent="0.25">
      <c r="A24" s="3" t="s">
        <v>39</v>
      </c>
      <c r="B24" s="14"/>
      <c r="C24" s="14"/>
      <c r="D24" s="16">
        <f>(HOUR(B21)+MINUTE(B21)/60)*$B$6</f>
        <v>3.2583333333333333</v>
      </c>
      <c r="E24" s="14"/>
      <c r="F24" s="14"/>
      <c r="G24" s="14"/>
    </row>
    <row r="25" spans="1:7" x14ac:dyDescent="0.25">
      <c r="A25" s="17" t="s">
        <v>40</v>
      </c>
      <c r="B25" s="14"/>
      <c r="C25" s="14"/>
      <c r="D25" s="16">
        <f>D22+D23+D24</f>
        <v>6.5027083333333326</v>
      </c>
      <c r="E25" s="18">
        <v>30</v>
      </c>
      <c r="F25" s="16">
        <f>E25*$B$5</f>
        <v>6.3599999999999994</v>
      </c>
      <c r="G25" s="16">
        <f>E25-D25-F25</f>
        <v>17.13729166666667</v>
      </c>
    </row>
    <row r="28" spans="1:7" ht="15.75" x14ac:dyDescent="0.25">
      <c r="A28" s="33" t="s">
        <v>41</v>
      </c>
      <c r="B28" s="32"/>
      <c r="C28" s="32"/>
      <c r="D28" s="32"/>
      <c r="E28" s="32"/>
      <c r="F28" s="32"/>
      <c r="G28" s="32"/>
    </row>
    <row r="29" spans="1:7" x14ac:dyDescent="0.25">
      <c r="A29" s="2" t="s">
        <v>42</v>
      </c>
      <c r="B29" s="2" t="s">
        <v>43</v>
      </c>
      <c r="C29" s="2" t="s">
        <v>44</v>
      </c>
      <c r="D29" s="2" t="s">
        <v>45</v>
      </c>
    </row>
    <row r="30" spans="1:7" x14ac:dyDescent="0.25">
      <c r="A30" s="3" t="s">
        <v>46</v>
      </c>
      <c r="B30" s="16">
        <v>16.899999999999999</v>
      </c>
      <c r="C30" s="19">
        <v>25</v>
      </c>
      <c r="D30" s="16">
        <f>C30-B30</f>
        <v>8.1000000000000014</v>
      </c>
    </row>
    <row r="31" spans="1:7" x14ac:dyDescent="0.25">
      <c r="A31" s="3" t="s">
        <v>47</v>
      </c>
      <c r="B31" s="16">
        <v>22</v>
      </c>
      <c r="C31" s="19">
        <v>32</v>
      </c>
      <c r="D31" s="16">
        <f>C31-B31</f>
        <v>10</v>
      </c>
    </row>
  </sheetData>
  <mergeCells count="5">
    <mergeCell ref="A1:G1"/>
    <mergeCell ref="A18:G18"/>
    <mergeCell ref="A3:C3"/>
    <mergeCell ref="A11:G11"/>
    <mergeCell ref="A28:G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election sqref="A1:F1"/>
    </sheetView>
  </sheetViews>
  <sheetFormatPr baseColWidth="10" defaultColWidth="9.140625" defaultRowHeight="15" x14ac:dyDescent="0.25"/>
  <cols>
    <col min="1" max="1" width="14" customWidth="1"/>
    <col min="2" max="2" width="42" customWidth="1"/>
    <col min="3" max="3" width="24" customWidth="1"/>
    <col min="4" max="4" width="10" customWidth="1"/>
    <col min="5" max="6" width="18" customWidth="1"/>
  </cols>
  <sheetData>
    <row r="1" spans="1:6" ht="39.950000000000003" customHeight="1" x14ac:dyDescent="0.25">
      <c r="A1" s="31" t="s">
        <v>48</v>
      </c>
      <c r="B1" s="32"/>
      <c r="C1" s="32"/>
      <c r="D1" s="32"/>
      <c r="E1" s="32"/>
      <c r="F1" s="32"/>
    </row>
    <row r="3" spans="1:6" ht="15.75" x14ac:dyDescent="0.25">
      <c r="A3" s="1" t="s">
        <v>49</v>
      </c>
      <c r="D3" s="1" t="s">
        <v>50</v>
      </c>
    </row>
    <row r="4" spans="1:6" ht="69.95" customHeight="1" x14ac:dyDescent="0.25">
      <c r="A4" s="20" t="s">
        <v>51</v>
      </c>
      <c r="D4" s="20" t="s">
        <v>52</v>
      </c>
    </row>
    <row r="7" spans="1:6" ht="15.75" x14ac:dyDescent="0.25">
      <c r="A7" s="33" t="s">
        <v>53</v>
      </c>
      <c r="B7" s="32"/>
      <c r="C7" s="32"/>
      <c r="D7" s="32"/>
      <c r="E7" s="32"/>
      <c r="F7" s="32"/>
    </row>
    <row r="8" spans="1:6" x14ac:dyDescent="0.25">
      <c r="A8" s="2" t="s">
        <v>54</v>
      </c>
      <c r="B8" s="2" t="s">
        <v>55</v>
      </c>
      <c r="C8" s="2" t="s">
        <v>56</v>
      </c>
      <c r="D8" s="2" t="s">
        <v>57</v>
      </c>
      <c r="E8" s="2" t="s">
        <v>58</v>
      </c>
      <c r="F8" s="2" t="s">
        <v>59</v>
      </c>
    </row>
    <row r="9" spans="1:6" x14ac:dyDescent="0.25">
      <c r="A9" s="21" t="s">
        <v>60</v>
      </c>
      <c r="B9" s="3" t="s">
        <v>61</v>
      </c>
      <c r="C9" s="22" t="s">
        <v>25</v>
      </c>
      <c r="D9" s="23">
        <v>1</v>
      </c>
      <c r="E9" s="11">
        <f>VLOOKUP(C9, 'Calculs &amp; Barème'!$A$13:$E$15, 5, FALSE)</f>
        <v>45</v>
      </c>
      <c r="F9" s="11">
        <f>D9*E9</f>
        <v>45</v>
      </c>
    </row>
    <row r="10" spans="1:6" x14ac:dyDescent="0.25">
      <c r="A10" s="21" t="s">
        <v>62</v>
      </c>
      <c r="B10" s="3" t="s">
        <v>63</v>
      </c>
      <c r="C10" s="24" t="s">
        <v>64</v>
      </c>
      <c r="D10" s="23">
        <v>1</v>
      </c>
      <c r="E10" s="11">
        <v>0</v>
      </c>
      <c r="F10" s="11">
        <f>D10*E10</f>
        <v>0</v>
      </c>
    </row>
    <row r="11" spans="1:6" x14ac:dyDescent="0.25">
      <c r="A11" s="21" t="s">
        <v>65</v>
      </c>
      <c r="B11" s="3" t="s">
        <v>66</v>
      </c>
      <c r="C11" s="24" t="s">
        <v>64</v>
      </c>
      <c r="D11" s="23">
        <v>1</v>
      </c>
      <c r="E11" s="11">
        <f>IF(C11="Oui", 'Calculs &amp; Barème'!E25, 0)</f>
        <v>30</v>
      </c>
      <c r="F11" s="11">
        <f>D11*E11</f>
        <v>30</v>
      </c>
    </row>
    <row r="12" spans="1:6" x14ac:dyDescent="0.25">
      <c r="A12" s="21" t="s">
        <v>67</v>
      </c>
      <c r="B12" s="3" t="s">
        <v>68</v>
      </c>
      <c r="C12" s="24" t="s">
        <v>64</v>
      </c>
      <c r="D12" s="23">
        <v>1</v>
      </c>
      <c r="E12" s="11">
        <f>IF(AND(C12="Oui", C11="Oui"), 'Calculs &amp; Barème'!C30, 0)</f>
        <v>25</v>
      </c>
      <c r="F12" s="11">
        <f>D12*E12</f>
        <v>25</v>
      </c>
    </row>
    <row r="14" spans="1:6" x14ac:dyDescent="0.25">
      <c r="E14" s="25" t="s">
        <v>69</v>
      </c>
      <c r="F14" s="26">
        <f>SUM(F9:F12)</f>
        <v>100</v>
      </c>
    </row>
    <row r="15" spans="1:6" x14ac:dyDescent="0.25">
      <c r="E15" s="27" t="s">
        <v>70</v>
      </c>
      <c r="F15" s="28">
        <v>0</v>
      </c>
    </row>
    <row r="16" spans="1:6" ht="21" x14ac:dyDescent="0.25">
      <c r="E16" s="29" t="s">
        <v>71</v>
      </c>
      <c r="F16" s="30">
        <f>F14+F15</f>
        <v>100</v>
      </c>
    </row>
    <row r="18" spans="1:6" x14ac:dyDescent="0.25">
      <c r="A18" s="34" t="s">
        <v>72</v>
      </c>
      <c r="B18" s="35"/>
      <c r="C18" s="35"/>
      <c r="D18" s="35"/>
      <c r="E18" s="35"/>
      <c r="F18" s="35"/>
    </row>
    <row r="19" spans="1:6" x14ac:dyDescent="0.25">
      <c r="A19" s="35"/>
      <c r="B19" s="35"/>
      <c r="C19" s="35"/>
      <c r="D19" s="35"/>
      <c r="E19" s="35"/>
      <c r="F19" s="35"/>
    </row>
    <row r="20" spans="1:6" x14ac:dyDescent="0.25">
      <c r="A20" s="35"/>
      <c r="B20" s="35"/>
      <c r="C20" s="35"/>
      <c r="D20" s="35"/>
      <c r="E20" s="35"/>
      <c r="F20" s="35"/>
    </row>
    <row r="21" spans="1:6" x14ac:dyDescent="0.25">
      <c r="A21" s="35"/>
      <c r="B21" s="35"/>
      <c r="C21" s="35"/>
      <c r="D21" s="35"/>
      <c r="E21" s="35"/>
      <c r="F21" s="35"/>
    </row>
  </sheetData>
  <mergeCells count="3">
    <mergeCell ref="A1:F1"/>
    <mergeCell ref="A7:F7"/>
    <mergeCell ref="A18:F21"/>
  </mergeCells>
  <dataValidations count="2">
    <dataValidation type="list" sqref="C9" xr:uid="{00000000-0002-0000-0100-000000000000}">
      <formula1>"Conception simple,Reproduction technique,Conception technique"</formula1>
    </dataValidation>
    <dataValidation type="list" sqref="C10 C11 C12" xr:uid="{00000000-0002-0000-0100-000001000000}">
      <formula1>"Oui,Non"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Calculs &amp; Barème</vt:lpstr>
      <vt:lpstr>Devis Client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Inaïa Dublé</cp:lastModifiedBy>
  <dcterms:created xsi:type="dcterms:W3CDTF">2026-07-21T18:09:01Z</dcterms:created>
  <dcterms:modified xsi:type="dcterms:W3CDTF">2026-07-25T16:44:51Z</dcterms:modified>
</cp:coreProperties>
</file>