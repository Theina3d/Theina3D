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F:\Theina3D\Theina3D\Produit\"/>
    </mc:Choice>
  </mc:AlternateContent>
  <xr:revisionPtr revIDLastSave="0" documentId="13_ncr:1_{A7CC5117-D1FC-45F0-A7E1-97EAB6A99005}" xr6:coauthVersionLast="47" xr6:coauthVersionMax="47" xr10:uidLastSave="{00000000-0000-0000-0000-000000000000}"/>
  <bookViews>
    <workbookView xWindow="-120" yWindow="-120" windowWidth="29040" windowHeight="15720" activeTab="2" xr2:uid="{C8E30C7B-B677-4B82-9030-6930B4140F13}"/>
  </bookViews>
  <sheets>
    <sheet name="Feuil1" sheetId="1" r:id="rId1"/>
    <sheet name="Calculs &amp; Barème" sheetId="2" r:id="rId2"/>
    <sheet name="Devis Client"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E9" i="3" l="1"/>
  <c r="F9" i="3" s="1"/>
  <c r="F10" i="3"/>
  <c r="E11" i="3"/>
  <c r="F11" i="3" s="1"/>
  <c r="E12" i="3"/>
  <c r="F12" i="3" s="1"/>
  <c r="D13" i="2"/>
  <c r="G13" i="2" s="1"/>
  <c r="F13" i="2"/>
  <c r="D14" i="2"/>
  <c r="F14" i="2"/>
  <c r="G14" i="2" s="1"/>
  <c r="D15" i="2"/>
  <c r="F15" i="2"/>
  <c r="G15" i="2"/>
  <c r="D16" i="2"/>
  <c r="F16" i="2"/>
  <c r="G16" i="2"/>
  <c r="D22" i="2"/>
  <c r="D23" i="2"/>
  <c r="D25" i="2" s="1"/>
  <c r="G25" i="2" s="1"/>
  <c r="D24" i="2"/>
  <c r="F25" i="2"/>
  <c r="D30" i="2"/>
  <c r="D31" i="2"/>
  <c r="N2" i="1"/>
  <c r="N3" i="1"/>
  <c r="N4" i="1"/>
  <c r="N5" i="1"/>
  <c r="N6" i="1"/>
  <c r="N7" i="1"/>
  <c r="H2" i="1"/>
  <c r="H3" i="1"/>
  <c r="H4" i="1"/>
  <c r="H5" i="1"/>
  <c r="H6" i="1"/>
  <c r="H7" i="1"/>
  <c r="F3" i="1"/>
  <c r="F4" i="1"/>
  <c r="F5" i="1"/>
  <c r="F6" i="1"/>
  <c r="F7" i="1"/>
  <c r="F2" i="1"/>
  <c r="F14" i="3" l="1"/>
  <c r="F16" i="3" s="1"/>
  <c r="I5" i="1"/>
  <c r="I3" i="1"/>
  <c r="I4" i="1"/>
  <c r="I7" i="1"/>
  <c r="I6" i="1"/>
  <c r="I2" i="1"/>
  <c r="P7" i="1" l="1"/>
  <c r="P4" i="1"/>
  <c r="P6" i="1"/>
  <c r="P3" i="1"/>
  <c r="P2" i="1"/>
  <c r="P5" i="1"/>
</calcChain>
</file>

<file path=xl/sharedStrings.xml><?xml version="1.0" encoding="utf-8"?>
<sst xmlns="http://schemas.openxmlformats.org/spreadsheetml/2006/main" count="118" uniqueCount="107">
  <si>
    <t>Skadis_Casque_Support - Part 1</t>
  </si>
  <si>
    <t>Support Casque Skadis</t>
  </si>
  <si>
    <t>FALSE</t>
  </si>
  <si>
    <t>Casque_violet.png</t>
  </si>
  <si>
    <t>PROD-002</t>
  </si>
  <si>
    <t>Support Bouteille CO2</t>
  </si>
  <si>
    <t>PROD-004</t>
  </si>
  <si>
    <t>marque pages chat Plat</t>
  </si>
  <si>
    <t>€/kg</t>
  </si>
  <si>
    <t>PROD-005</t>
  </si>
  <si>
    <t>Enrouleur mètre ruban</t>
  </si>
  <si>
    <t>TRUE</t>
  </si>
  <si>
    <t>€kwH</t>
  </si>
  <si>
    <t>PROD-006</t>
  </si>
  <si>
    <t>Bouegoir Bas</t>
  </si>
  <si>
    <t>usure</t>
  </si>
  <si>
    <t>PROD-007</t>
  </si>
  <si>
    <t>Bouegoir Haut</t>
  </si>
  <si>
    <t>SKU</t>
  </si>
  <si>
    <t>Produit</t>
  </si>
  <si>
    <t>bicolor</t>
  </si>
  <si>
    <t>Poids</t>
  </si>
  <si>
    <t>temps</t>
  </si>
  <si>
    <t>cout de revient</t>
  </si>
  <si>
    <t>PVU</t>
  </si>
  <si>
    <t>Cotisation</t>
  </si>
  <si>
    <t>image</t>
  </si>
  <si>
    <t>poids bicolor 2</t>
  </si>
  <si>
    <t>surcout</t>
  </si>
  <si>
    <t>poid bicolor 1</t>
  </si>
  <si>
    <t>dont asso</t>
  </si>
  <si>
    <t>bénéfice</t>
  </si>
  <si>
    <t>bénéfice apres dons</t>
  </si>
  <si>
    <t>% dons</t>
  </si>
  <si>
    <t>1kg &lt; Colis &lt; 3kg</t>
  </si>
  <si>
    <t>Colis &lt; 1kg</t>
  </si>
  <si>
    <t>Marge Livraison (€)</t>
  </si>
  <si>
    <t>Facturé au Client (€)</t>
  </si>
  <si>
    <t>Payé au Fournisseur (€)</t>
  </si>
  <si>
    <t>Type Colis / Tranche</t>
  </si>
  <si>
    <t>4. Grille Expédition &amp; Livraison Proto</t>
  </si>
  <si>
    <t>TOTAL Impression Prototype</t>
  </si>
  <si>
    <t>Coût Usure &amp; Maintenance Machine</t>
  </si>
  <si>
    <t>Coût Électricité</t>
  </si>
  <si>
    <t>Coût Matière (Filament)</t>
  </si>
  <si>
    <t>hh:mm:ss</t>
  </si>
  <si>
    <t>06:31:00</t>
  </si>
  <si>
    <t>Temps d'impression</t>
  </si>
  <si>
    <t>grammes (g)</t>
  </si>
  <si>
    <t>Poids de filament utilisé</t>
  </si>
  <si>
    <t>Marge Nette</t>
  </si>
  <si>
    <t>Cotisations URSSAF</t>
  </si>
  <si>
    <t>Prix de Vente Estimé</t>
  </si>
  <si>
    <t>Calcul Coût de Revient</t>
  </si>
  <si>
    <t>Unité / Formule</t>
  </si>
  <si>
    <t>Valeur</t>
  </si>
  <si>
    <t>Paramètre Impression</t>
  </si>
  <si>
    <t>3. Calculateur Impression Prototype 3D</t>
  </si>
  <si>
    <t>Livraison des fichiers (STEP, STL, DWG)</t>
  </si>
  <si>
    <t>Conception technique</t>
  </si>
  <si>
    <t>Reproduction technique</t>
  </si>
  <si>
    <t>Conception simple</t>
  </si>
  <si>
    <t>Prix de Vente (PV)</t>
  </si>
  <si>
    <t>Coût de Revient</t>
  </si>
  <si>
    <t>Temps (h)</t>
  </si>
  <si>
    <t>Taux Horaire (€/h)</t>
  </si>
  <si>
    <t>Prestation</t>
  </si>
  <si>
    <t>2. Grille Tarifaire Conception CAO / 3D</t>
  </si>
  <si>
    <t>Prix moyen bobine 1kg</t>
  </si>
  <si>
    <t>Prix filament PLA / kg</t>
  </si>
  <si>
    <t>Puissance moyenne en Watts (W)</t>
  </si>
  <si>
    <t>Consommation moyenne imprimante</t>
  </si>
  <si>
    <t>Tarif moyen TTC du kWh</t>
  </si>
  <si>
    <t>Prix du kWh d'électricité</t>
  </si>
  <si>
    <t>Maintenance + amortissement machine</t>
  </si>
  <si>
    <t>Coût usure machine / heure</t>
  </si>
  <si>
    <t>Taux URSSAF / Micro-entreprise</t>
  </si>
  <si>
    <t>Taux de cotisation sociale</t>
  </si>
  <si>
    <t>Unité / Note</t>
  </si>
  <si>
    <t>Désignation</t>
  </si>
  <si>
    <t>1. Taux de Cotisation, Électricité &amp; Usure Machine</t>
  </si>
  <si>
    <t>PARAMÈTRES DE CALCUL, COÛTS DE REVIENT &amp; MARGES</t>
  </si>
  <si>
    <t>NOTE IMPORTANTE CONCERNANT LE PROTOTYPE 3D :
Le chiffrage du prototype imprimé (option PRT-3D) est une estimation prévisionnelle basée sur l'analyse initiale de votre besoin.
Le fichier 3D définitif n'étant pas encore généré au moment de ce devis, le montant du prototype est délibérément estimé avec une marge de sécurité. Lors de la livraison finale du fichier et du lancement de l'impression, le tarif pourra être RÉAJUSTÉ À LA BAISSE si le coût de revient réel (temps d'impression effectif, consommation électrique et poids de matière) s'avère inférieur aux prévisions.</t>
  </si>
  <si>
    <t>Net à payer (€) :</t>
  </si>
  <si>
    <t>TVA (Franchise) :</t>
  </si>
  <si>
    <t>Total HT :</t>
  </si>
  <si>
    <t>Oui</t>
  </si>
  <si>
    <t>Frais de port &amp; emballage sécurisé (Colis &lt; 1kg)</t>
  </si>
  <si>
    <t>SHP-01</t>
  </si>
  <si>
    <t>Impression 3D - Prototype physique (Cotation estimée)</t>
  </si>
  <si>
    <t>PRT-3D</t>
  </si>
  <si>
    <t>Livraison des fichiers sources &amp; fabrication (STEP, STL, DWG)</t>
  </si>
  <si>
    <t>CAD-DEL</t>
  </si>
  <si>
    <t>Prestation de conception / modélisation 3D</t>
  </si>
  <si>
    <t>CAD-01</t>
  </si>
  <si>
    <t>Total HT</t>
  </si>
  <si>
    <t>Prix Unitaire HT</t>
  </si>
  <si>
    <t>Qté</t>
  </si>
  <si>
    <t>Inclus / Option</t>
  </si>
  <si>
    <t>Description de la prestation</t>
  </si>
  <si>
    <t>Réf / Item</t>
  </si>
  <si>
    <t>SÉLECTION ET DÉTAIL DES PRESTATIONS</t>
  </si>
  <si>
    <t>Nom Client / Société : Client exemple
Adresse : 45 Avenue des Projets
Email : client@email.com
Date du devis : 21/07/2026
N° Devis : DEV-2026-001</t>
  </si>
  <si>
    <t>Mon Entreprise 3D / Design
Adresse : 123 Rue de l'Innovation
Email : contact@monentreprise3d.fr
N° SIRET : 123 456 789 00012</t>
  </si>
  <si>
    <t>INFORMATIONS CLIENT</t>
  </si>
  <si>
    <t>INFORMATIONS PRESTATAIRE</t>
  </si>
  <si>
    <t>DEVIS DE PRESTATION &amp; PROTOTYPAGE 3D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</si>
</sst>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 #,##0.00\ &quot;€&quot;_-;\-* #,##0.00\ &quot;€&quot;_-;_-* &quot;-&quot;??\ &quot;€&quot;_-;_-@_-"/>
    <numFmt numFmtId="164" formatCode="#,##0.00\ \€"/>
    <numFmt numFmtId="165" formatCode="0.0%"/>
  </numFmts>
  <fonts count="11" x14ac:knownFonts="1">
    <font>
      <sz val="11"/>
      <color theme="1"/>
      <name val="Aptos Narrow"/>
      <family val="2"/>
      <scheme val="minor"/>
    </font>
    <font>
      <sz val="11"/>
      <color theme="1"/>
      <name val="Aptos Narrow"/>
      <family val="2"/>
      <scheme val="minor"/>
    </font>
    <font>
      <sz val="10"/>
      <color rgb="FF333333"/>
      <name val="Quattrocento Sans"/>
    </font>
    <font>
      <sz val="11"/>
      <color theme="1"/>
      <name val="Calibri"/>
      <family val="2"/>
    </font>
    <font>
      <sz val="11"/>
      <name val="Calibri"/>
      <family val="2"/>
    </font>
    <font>
      <sz val="11"/>
      <color rgb="FF0F172A"/>
      <name val="Calibri"/>
    </font>
    <font>
      <b/>
      <sz val="11"/>
      <color rgb="FFFFFFFF"/>
      <name val="Calibri"/>
    </font>
    <font>
      <b/>
      <sz val="12"/>
      <color rgb="FF1B365D"/>
      <name val="Calibri"/>
    </font>
    <font>
      <b/>
      <sz val="11"/>
      <color rgb="FF0F172A"/>
      <name val="Calibri"/>
    </font>
    <font>
      <i/>
      <sz val="9"/>
      <color rgb="FF475569"/>
      <name val="Calibri"/>
    </font>
    <font>
      <b/>
      <sz val="16"/>
      <color rgb="FFFFFFFF"/>
      <name val="Calibri"/>
    </font>
  </fonts>
  <fills count="8">
    <fill>
      <patternFill patternType="none"/>
    </fill>
    <fill>
      <patternFill patternType="gray125"/>
    </fill>
    <fill>
      <patternFill patternType="solid">
        <fgColor rgb="FFFFFFFF"/>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rgb="FFFEF3C7"/>
        <bgColor rgb="FFFEF3C7"/>
      </patternFill>
    </fill>
    <fill>
      <patternFill patternType="solid">
        <fgColor rgb="FF1B365D"/>
        <bgColor rgb="FF1B365D"/>
      </patternFill>
    </fill>
    <fill>
      <patternFill patternType="solid">
        <fgColor rgb="FFF1F5F9"/>
        <bgColor rgb="FFF1F5F9"/>
      </patternFill>
    </fill>
  </fills>
  <borders count="3">
    <border>
      <left/>
      <right/>
      <top/>
      <bottom/>
      <diagonal/>
    </border>
    <border>
      <left style="thin">
        <color rgb="FFCBD5E1"/>
      </left>
      <right style="thin">
        <color rgb="FFCBD5E1"/>
      </right>
      <top style="thin">
        <color rgb="FFCBD5E1"/>
      </top>
      <bottom style="thin">
        <color rgb="FFCBD5E1"/>
      </bottom>
      <diagonal/>
    </border>
    <border>
      <left style="thin">
        <color rgb="FFCBD5E1"/>
      </left>
      <right style="thin">
        <color rgb="FFCBD5E1"/>
      </right>
      <top style="thin">
        <color rgb="FFCBD5E1"/>
      </top>
      <bottom style="medium">
        <color rgb="FF1B365D"/>
      </bottom>
      <diagonal/>
    </border>
  </borders>
  <cellStyleXfs count="3">
    <xf numFmtId="0" fontId="0" fillId="0" borderId="0"/>
    <xf numFmtId="44" fontId="1" fillId="0" borderId="0" applyFont="0" applyFill="0" applyBorder="0" applyAlignment="0" applyProtection="0"/>
    <xf numFmtId="9" fontId="1" fillId="0" borderId="0" applyFont="0" applyFill="0" applyBorder="0" applyAlignment="0" applyProtection="0"/>
  </cellStyleXfs>
  <cellXfs count="47">
    <xf numFmtId="0" fontId="0" fillId="0" borderId="0" xfId="0"/>
    <xf numFmtId="0" fontId="3" fillId="2" borderId="0" xfId="0" applyFont="1" applyFill="1" applyAlignment="1">
      <alignment vertical="center" wrapText="1"/>
    </xf>
    <xf numFmtId="0" fontId="3" fillId="0" borderId="0" xfId="0" applyFont="1" applyAlignment="1">
      <alignment wrapText="1"/>
    </xf>
    <xf numFmtId="0" fontId="3" fillId="0" borderId="0" xfId="0" applyFont="1" applyAlignment="1">
      <alignment horizontal="right" wrapText="1"/>
    </xf>
    <xf numFmtId="0" fontId="2" fillId="0" borderId="0" xfId="0" applyFont="1" applyAlignment="1">
      <alignment horizontal="center" vertical="center"/>
    </xf>
    <xf numFmtId="0" fontId="2" fillId="0" borderId="0" xfId="0" applyFont="1" applyAlignment="1">
      <alignment vertical="center"/>
    </xf>
    <xf numFmtId="20" fontId="3" fillId="2" borderId="0" xfId="0" applyNumberFormat="1" applyFont="1" applyFill="1" applyAlignment="1">
      <alignment vertical="center" wrapText="1"/>
    </xf>
    <xf numFmtId="0" fontId="4" fillId="2" borderId="0" xfId="0" applyFont="1" applyFill="1" applyAlignment="1">
      <alignment vertical="center" wrapText="1"/>
    </xf>
    <xf numFmtId="9" fontId="3" fillId="2" borderId="0" xfId="2" applyFont="1" applyFill="1" applyBorder="1" applyAlignment="1">
      <alignment vertical="center" wrapText="1"/>
    </xf>
    <xf numFmtId="44" fontId="3" fillId="2" borderId="0" xfId="1" applyFont="1" applyFill="1" applyBorder="1" applyAlignment="1">
      <alignment vertical="center" wrapText="1"/>
    </xf>
    <xf numFmtId="44" fontId="3" fillId="3" borderId="0" xfId="1" applyFont="1" applyFill="1" applyBorder="1" applyAlignment="1">
      <alignment vertical="center" wrapText="1"/>
    </xf>
    <xf numFmtId="44" fontId="3" fillId="4" borderId="0" xfId="1" applyFont="1" applyFill="1" applyBorder="1" applyAlignment="1">
      <alignment vertical="center" wrapText="1"/>
    </xf>
    <xf numFmtId="164" fontId="0" fillId="0" borderId="1" xfId="0" applyNumberFormat="1" applyBorder="1"/>
    <xf numFmtId="164" fontId="0" fillId="5" borderId="1" xfId="0" applyNumberFormat="1" applyFill="1" applyBorder="1"/>
    <xf numFmtId="0" fontId="5" fillId="0" borderId="1" xfId="0" applyFont="1" applyBorder="1"/>
    <xf numFmtId="0" fontId="6" fillId="6" borderId="2" xfId="0" applyFont="1" applyFill="1" applyBorder="1" applyAlignment="1">
      <alignment horizontal="center" vertical="center"/>
    </xf>
    <xf numFmtId="0" fontId="0" fillId="0" borderId="0" xfId="0"/>
    <xf numFmtId="0" fontId="7" fillId="0" borderId="0" xfId="0" applyFont="1"/>
    <xf numFmtId="164" fontId="8" fillId="5" borderId="1" xfId="0" applyNumberFormat="1" applyFont="1" applyFill="1" applyBorder="1"/>
    <xf numFmtId="0" fontId="0" fillId="0" borderId="1" xfId="0" applyBorder="1"/>
    <xf numFmtId="0" fontId="8" fillId="0" borderId="1" xfId="0" applyFont="1" applyBorder="1"/>
    <xf numFmtId="0" fontId="9" fillId="0" borderId="1" xfId="0" applyFont="1" applyBorder="1"/>
    <xf numFmtId="0" fontId="8" fillId="5" borderId="1" xfId="0" applyFont="1" applyFill="1" applyBorder="1"/>
    <xf numFmtId="3" fontId="8" fillId="5" borderId="1" xfId="0" applyNumberFormat="1" applyFont="1" applyFill="1" applyBorder="1"/>
    <xf numFmtId="164" fontId="0" fillId="0" borderId="1" xfId="0" applyNumberFormat="1" applyBorder="1" applyAlignment="1">
      <alignment horizontal="right" vertical="center"/>
    </xf>
    <xf numFmtId="2" fontId="0" fillId="0" borderId="1" xfId="0" applyNumberFormat="1" applyBorder="1" applyAlignment="1">
      <alignment horizontal="right" vertical="center"/>
    </xf>
    <xf numFmtId="0" fontId="5" fillId="0" borderId="1" xfId="0" applyFont="1" applyBorder="1" applyAlignment="1">
      <alignment horizontal="left" vertical="center"/>
    </xf>
    <xf numFmtId="164" fontId="0" fillId="5" borderId="1" xfId="0" applyNumberFormat="1" applyFill="1" applyBorder="1" applyAlignment="1">
      <alignment horizontal="right" vertical="center"/>
    </xf>
    <xf numFmtId="2" fontId="0" fillId="5" borderId="1" xfId="0" applyNumberFormat="1" applyFill="1" applyBorder="1" applyAlignment="1">
      <alignment horizontal="right" vertical="center"/>
    </xf>
    <xf numFmtId="164" fontId="8" fillId="5" borderId="1" xfId="0" applyNumberFormat="1" applyFont="1" applyFill="1" applyBorder="1" applyAlignment="1">
      <alignment horizontal="right" vertical="center"/>
    </xf>
    <xf numFmtId="3" fontId="8" fillId="5" borderId="1" xfId="0" applyNumberFormat="1" applyFont="1" applyFill="1" applyBorder="1" applyAlignment="1">
      <alignment horizontal="right" vertical="center"/>
    </xf>
    <xf numFmtId="165" fontId="8" fillId="5" borderId="1" xfId="0" applyNumberFormat="1" applyFont="1" applyFill="1" applyBorder="1" applyAlignment="1">
      <alignment horizontal="right" vertical="center"/>
    </xf>
    <xf numFmtId="0" fontId="10" fillId="6" borderId="0" xfId="0" applyFont="1" applyFill="1" applyAlignment="1">
      <alignment horizontal="center" vertical="center"/>
    </xf>
    <xf numFmtId="0" fontId="0" fillId="0" borderId="1" xfId="0" applyBorder="1"/>
    <xf numFmtId="0" fontId="9" fillId="7" borderId="1" xfId="0" applyFont="1" applyFill="1" applyBorder="1" applyAlignment="1">
      <alignment vertical="top" wrapText="1"/>
    </xf>
    <xf numFmtId="164" fontId="10" fillId="6" borderId="0" xfId="0" applyNumberFormat="1" applyFont="1" applyFill="1" applyAlignment="1">
      <alignment horizontal="right" vertical="center"/>
    </xf>
    <xf numFmtId="0" fontId="10" fillId="6" borderId="0" xfId="0" applyFont="1" applyFill="1" applyAlignment="1">
      <alignment horizontal="right" vertical="center"/>
    </xf>
    <xf numFmtId="164" fontId="5" fillId="0" borderId="1" xfId="0" applyNumberFormat="1" applyFont="1" applyBorder="1"/>
    <xf numFmtId="0" fontId="5" fillId="0" borderId="0" xfId="0" applyFont="1" applyAlignment="1">
      <alignment horizontal="right" vertical="center"/>
    </xf>
    <xf numFmtId="164" fontId="8" fillId="0" borderId="1" xfId="0" applyNumberFormat="1" applyFont="1" applyBorder="1"/>
    <xf numFmtId="0" fontId="8" fillId="0" borderId="0" xfId="0" applyFont="1" applyAlignment="1">
      <alignment horizontal="right" vertical="center"/>
    </xf>
    <xf numFmtId="3" fontId="0" fillId="0" borderId="1" xfId="0" applyNumberFormat="1" applyBorder="1" applyAlignment="1">
      <alignment horizontal="center" vertical="center"/>
    </xf>
    <xf numFmtId="0" fontId="5" fillId="5" borderId="1" xfId="0" applyFont="1" applyFill="1" applyBorder="1" applyAlignment="1">
      <alignment horizontal="center" vertical="center"/>
    </xf>
    <xf numFmtId="0" fontId="5" fillId="0" borderId="1" xfId="0" applyFont="1" applyBorder="1" applyAlignment="1">
      <alignment horizontal="center" vertical="center"/>
    </xf>
    <xf numFmtId="0" fontId="8" fillId="5" borderId="1" xfId="0" applyFont="1" applyFill="1" applyBorder="1" applyAlignment="1">
      <alignment horizontal="center" vertical="center"/>
    </xf>
    <xf numFmtId="0" fontId="5" fillId="0" borderId="0" xfId="0" applyFont="1" applyAlignment="1">
      <alignment vertical="top" wrapText="1"/>
    </xf>
    <xf numFmtId="0" fontId="7" fillId="0" borderId="0" xfId="0" applyFont="1"/>
  </cellXfs>
  <cellStyles count="3">
    <cellStyle name="Monétaire" xfId="1" builtinId="4"/>
    <cellStyle name="Normal" xfId="0" builtinId="0"/>
    <cellStyle name="Pourcentage" xfId="2" builtinId="5"/>
  </cellStyles>
  <dxfs count="18">
    <dxf>
      <font>
        <b val="0"/>
        <i val="0"/>
        <strike val="0"/>
        <condense val="0"/>
        <extend val="0"/>
        <outline val="0"/>
        <shadow val="0"/>
        <u val="none"/>
        <vertAlign val="baseline"/>
        <sz val="11"/>
        <color theme="1"/>
        <name val="Calibri"/>
        <family val="2"/>
        <scheme val="none"/>
      </font>
      <fill>
        <patternFill patternType="solid">
          <fgColor indexed="64"/>
          <bgColor theme="9" tint="0.79998168889431442"/>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solid">
          <fgColor indexed="64"/>
          <bgColor rgb="FFFFFFFF"/>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solid">
          <fgColor indexed="64"/>
          <bgColor rgb="FFFFFFFF"/>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solid">
          <fgColor indexed="64"/>
          <bgColor rgb="FFFFFFFF"/>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solid">
          <fgColor indexed="64"/>
          <bgColor rgb="FFFFFFFF"/>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solid">
          <fgColor indexed="64"/>
          <bgColor rgb="FFFFFFFF"/>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solid">
          <fgColor indexed="64"/>
          <bgColor rgb="FFFFFFFF"/>
        </patternFill>
      </fill>
      <alignment horizontal="general" vertical="center" textRotation="0" wrapText="1" indent="0" justifyLastLine="0" shrinkToFit="0" readingOrder="0"/>
    </dxf>
    <dxf>
      <font>
        <b val="0"/>
        <i val="0"/>
        <strike val="0"/>
        <condense val="0"/>
        <extend val="0"/>
        <outline val="0"/>
        <shadow val="0"/>
        <u val="none"/>
        <vertAlign val="baseline"/>
        <sz val="11"/>
        <color rgb="FF434343"/>
        <name val="Calibri"/>
        <family val="2"/>
        <scheme val="none"/>
      </font>
      <fill>
        <patternFill patternType="solid">
          <fgColor indexed="64"/>
          <bgColor rgb="FFFFFFFF"/>
        </patternFill>
      </fill>
      <alignment horizontal="general" vertical="center" textRotation="0" wrapText="1" indent="0" justifyLastLine="0" shrinkToFit="0" readingOrder="0"/>
    </dxf>
    <dxf>
      <font>
        <b val="0"/>
        <i val="0"/>
        <strike val="0"/>
        <condense val="0"/>
        <extend val="0"/>
        <outline val="0"/>
        <shadow val="0"/>
        <u val="none"/>
        <vertAlign val="baseline"/>
        <sz val="11"/>
        <color rgb="FF434343"/>
        <name val="Calibri"/>
        <family val="2"/>
        <scheme val="none"/>
      </font>
      <fill>
        <patternFill patternType="solid">
          <fgColor indexed="64"/>
          <bgColor rgb="FFFFFFFF"/>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solid">
          <fgColor indexed="64"/>
          <bgColor theme="7" tint="0.79998168889431442"/>
        </patternFill>
      </fill>
      <alignment horizontal="general" vertical="center" textRotation="0" wrapText="1" indent="0" justifyLastLine="0" shrinkToFit="0" readingOrder="0"/>
    </dxf>
    <dxf>
      <font>
        <b val="0"/>
        <i val="0"/>
        <strike val="0"/>
        <condense val="0"/>
        <extend val="0"/>
        <outline val="0"/>
        <shadow val="0"/>
        <u val="none"/>
        <vertAlign val="baseline"/>
        <sz val="10"/>
        <color rgb="FF333333"/>
        <name val="Calibri"/>
        <family val="2"/>
        <scheme val="none"/>
      </font>
      <fill>
        <patternFill patternType="solid">
          <fgColor indexed="64"/>
          <bgColor rgb="FFFFFFFF"/>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solid">
          <fgColor indexed="64"/>
          <bgColor rgb="FFFFFFFF"/>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solid">
          <fgColor indexed="64"/>
          <bgColor rgb="FFFFFFFF"/>
        </patternFill>
      </fill>
      <alignment horizontal="general" vertical="center" textRotation="0" wrapText="1" indent="0" justifyLastLine="0" shrinkToFit="0" readingOrder="0"/>
    </dxf>
    <dxf>
      <font>
        <b val="0"/>
        <i val="0"/>
        <strike val="0"/>
        <condense val="0"/>
        <extend val="0"/>
        <outline val="0"/>
        <shadow val="0"/>
        <u val="none"/>
        <vertAlign val="baseline"/>
        <sz val="10"/>
        <color rgb="FF333333"/>
        <name val="Calibri"/>
        <family val="2"/>
        <scheme val="none"/>
      </font>
      <fill>
        <patternFill patternType="solid">
          <fgColor indexed="64"/>
          <bgColor rgb="FFFFFFFF"/>
        </patternFill>
      </fill>
      <alignment horizontal="general" vertical="center" textRotation="0" wrapText="1" indent="0" justifyLastLine="0" shrinkToFit="0" readingOrder="0"/>
    </dxf>
    <dxf>
      <font>
        <b val="0"/>
        <i val="0"/>
        <strike val="0"/>
        <condense val="0"/>
        <extend val="0"/>
        <outline val="0"/>
        <shadow val="0"/>
        <u val="none"/>
        <vertAlign val="baseline"/>
        <sz val="10"/>
        <color rgb="FF333333"/>
        <name val="Calibri"/>
        <family val="2"/>
        <scheme val="none"/>
      </font>
      <fill>
        <patternFill patternType="solid">
          <fgColor indexed="64"/>
          <bgColor rgb="FFFFFFFF"/>
        </patternFill>
      </fill>
      <alignment horizontal="general" vertical="center" textRotation="0" wrapText="1" indent="0" justifyLastLine="0" shrinkToFit="0" readingOrder="0"/>
    </dxf>
    <dxf>
      <font>
        <b val="0"/>
        <i val="0"/>
        <strike val="0"/>
        <condense val="0"/>
        <extend val="0"/>
        <outline val="0"/>
        <shadow val="0"/>
        <u val="none"/>
        <vertAlign val="baseline"/>
        <sz val="10"/>
        <color rgb="FF333333"/>
        <name val="Calibri"/>
        <family val="2"/>
        <scheme val="none"/>
      </font>
      <fill>
        <patternFill patternType="solid">
          <fgColor indexed="64"/>
          <bgColor rgb="FFFFFFFF"/>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solid">
          <fgColor indexed="64"/>
          <bgColor rgb="FFFFFFFF"/>
        </patternFill>
      </fill>
      <alignment horizontal="general" vertical="center" textRotation="0" wrapText="1"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indexed="64"/>
          <bgColor rgb="FFFFFFFF"/>
        </patternFill>
      </fill>
      <alignment horizontal="general"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6A71FAF-F61C-4F8A-ADB5-40418E571C3E}" name="Tableau1" displayName="Tableau1" ref="A1:P7" totalsRowShown="0" headerRowDxfId="17" dataDxfId="16">
  <autoFilter ref="A1:P7" xr:uid="{96A71FAF-F61C-4F8A-ADB5-40418E571C3E}"/>
  <tableColumns count="16">
    <tableColumn id="1" xr3:uid="{23D466F6-9B2B-4653-93E6-139FE75B4231}" name="SKU" dataDxfId="15"/>
    <tableColumn id="2" xr3:uid="{595C2037-E6C0-4AAD-95EC-4AA427A537CB}" name="Produit" dataDxfId="14"/>
    <tableColumn id="3" xr3:uid="{D62D05D7-07D0-4919-88F4-EB47F77F9BB9}" name="bicolor" dataDxfId="13"/>
    <tableColumn id="4" xr3:uid="{3F1A66C0-8A4C-4B23-845F-EA86C89256ED}" name="Poids" dataDxfId="12"/>
    <tableColumn id="5" xr3:uid="{2557664B-2D47-4814-A763-E0E1CA9E4242}" name="temps" dataDxfId="11"/>
    <tableColumn id="6" xr3:uid="{C5622246-3EC6-4575-9B6D-426A7ACD3AB2}" name="cout de revient" dataDxfId="10" dataCellStyle="Monétaire">
      <calculatedColumnFormula>((D2*($T$1/1000))+(E2*24*(0.15*$T$2))+(E2*24*$T$3))</calculatedColumnFormula>
    </tableColumn>
    <tableColumn id="7" xr3:uid="{3910BEF2-95A1-4E9E-8961-6C9E62FD56D8}" name="PVU" dataDxfId="9" dataCellStyle="Monétaire"/>
    <tableColumn id="8" xr3:uid="{5667F4D7-744F-4926-889F-132E669CEAEA}" name="Cotisation" dataDxfId="8" dataCellStyle="Monétaire">
      <calculatedColumnFormula>Tableau1[[#This Row],[PVU]]*$T$4</calculatedColumnFormula>
    </tableColumn>
    <tableColumn id="9" xr3:uid="{CD65628A-964D-4889-937B-134D75F3696D}" name="bénéfice" dataDxfId="7" dataCellStyle="Monétaire">
      <calculatedColumnFormula>G2-H2-F2</calculatedColumnFormula>
    </tableColumn>
    <tableColumn id="10" xr3:uid="{909AFF64-52A4-40A9-B0CA-7DD349AA9DFB}" name="image" dataDxfId="6"/>
    <tableColumn id="11" xr3:uid="{DFF6FB60-F3E2-40F2-BE61-B9B72A71B8BB}" name="poid bicolor 1" dataDxfId="5"/>
    <tableColumn id="12" xr3:uid="{B22C8D62-1762-47B1-868F-E1CB6C31AD04}" name="poids bicolor 2" dataDxfId="4"/>
    <tableColumn id="13" xr3:uid="{DBAACC8F-D4F2-4FAF-8CBD-6D390EF0E03D}" name="surcout" dataDxfId="3"/>
    <tableColumn id="14" xr3:uid="{77ABA3A0-5131-46C3-85CF-053059CD7D4C}" name="dont asso" dataDxfId="2" dataCellStyle="Monétaire">
      <calculatedColumnFormula>Tableau1[[#This Row],[bénéfice]]*Tableau1[[#This Row],[% dons]]</calculatedColumnFormula>
    </tableColumn>
    <tableColumn id="16" xr3:uid="{28BE90EF-3EE9-43DD-B14E-51170F2B8F80}" name="% dons" dataDxfId="1" dataCellStyle="Pourcentage"/>
    <tableColumn id="15" xr3:uid="{5D676FDF-152E-43F4-8A6D-6A68FD4112A5}" name="bénéfice apres dons" dataDxfId="0" dataCellStyle="Monétaire">
      <calculatedColumnFormula>Tableau1[[#This Row],[bénéfice]]-Tableau1[[#This Row],[dont asso]]</calculatedColumnFormula>
    </tableColumn>
  </tableColumns>
  <tableStyleInfo name="TableStyleMedium1"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4EBCD7-2734-47A1-AE14-3BFF58DC858F}">
  <dimension ref="A1:Y15"/>
  <sheetViews>
    <sheetView showGridLines="0" zoomScale="130" zoomScaleNormal="130" workbookViewId="0">
      <selection activeCell="I12" sqref="I12"/>
    </sheetView>
  </sheetViews>
  <sheetFormatPr baseColWidth="10" defaultRowHeight="15" x14ac:dyDescent="0.25"/>
  <cols>
    <col min="8" max="9" width="12.140625" customWidth="1"/>
    <col min="10" max="10" width="13.42578125" customWidth="1"/>
    <col min="11" max="13" width="12.5703125" customWidth="1"/>
  </cols>
  <sheetData>
    <row r="1" spans="1:25" ht="30" x14ac:dyDescent="0.25">
      <c r="A1" s="7" t="s">
        <v>18</v>
      </c>
      <c r="B1" s="7" t="s">
        <v>19</v>
      </c>
      <c r="C1" s="7" t="s">
        <v>20</v>
      </c>
      <c r="D1" s="7" t="s">
        <v>21</v>
      </c>
      <c r="E1" s="7" t="s">
        <v>22</v>
      </c>
      <c r="F1" s="7" t="s">
        <v>23</v>
      </c>
      <c r="G1" s="7" t="s">
        <v>24</v>
      </c>
      <c r="H1" s="7" t="s">
        <v>25</v>
      </c>
      <c r="I1" s="7" t="s">
        <v>31</v>
      </c>
      <c r="J1" s="7" t="s">
        <v>26</v>
      </c>
      <c r="K1" s="7" t="s">
        <v>29</v>
      </c>
      <c r="L1" s="7" t="s">
        <v>27</v>
      </c>
      <c r="M1" s="7" t="s">
        <v>28</v>
      </c>
      <c r="N1" s="7" t="s">
        <v>30</v>
      </c>
      <c r="O1" s="7" t="s">
        <v>33</v>
      </c>
      <c r="P1" s="7" t="s">
        <v>32</v>
      </c>
      <c r="Q1" s="2"/>
      <c r="R1" s="2"/>
      <c r="S1" s="2" t="s">
        <v>8</v>
      </c>
      <c r="T1" s="3">
        <v>25</v>
      </c>
      <c r="U1" s="2"/>
      <c r="V1" s="2"/>
      <c r="W1" s="2"/>
      <c r="X1" s="2"/>
      <c r="Y1" s="2"/>
    </row>
    <row r="2" spans="1:25" ht="45" x14ac:dyDescent="0.25">
      <c r="A2" s="1" t="s">
        <v>0</v>
      </c>
      <c r="B2" s="1" t="s">
        <v>1</v>
      </c>
      <c r="C2" s="1" t="s">
        <v>2</v>
      </c>
      <c r="D2" s="1">
        <v>15.75</v>
      </c>
      <c r="E2" s="1">
        <v>5.7638888888888892E-2</v>
      </c>
      <c r="F2" s="9">
        <f t="shared" ref="F2:F7" si="0">((D2*($T$1/1000))+(E2*24*(0.15*$T$2))+(E2*24*$T$3))</f>
        <v>0.64620833333333338</v>
      </c>
      <c r="G2" s="11">
        <v>5</v>
      </c>
      <c r="H2" s="9">
        <f>Tableau1[[#This Row],[PVU]]*$T$4</f>
        <v>1.06</v>
      </c>
      <c r="I2" s="9">
        <f>G2-H2-F2</f>
        <v>3.2937916666666665</v>
      </c>
      <c r="J2" s="1" t="s">
        <v>3</v>
      </c>
      <c r="K2" s="1"/>
      <c r="L2" s="1"/>
      <c r="M2" s="1"/>
      <c r="N2" s="9">
        <f>Tableau1[[#This Row],[bénéfice]]*Tableau1[[#This Row],[% dons]]</f>
        <v>0.32937916666666667</v>
      </c>
      <c r="O2" s="8">
        <v>0.1</v>
      </c>
      <c r="P2" s="10">
        <f>Tableau1[[#This Row],[bénéfice]]-Tableau1[[#This Row],[dont asso]]</f>
        <v>2.9644124999999999</v>
      </c>
      <c r="Q2" s="2"/>
      <c r="R2" s="2"/>
      <c r="S2" s="2" t="s">
        <v>12</v>
      </c>
      <c r="T2" s="3">
        <v>0.15</v>
      </c>
      <c r="U2" s="2"/>
      <c r="V2" s="2"/>
      <c r="W2" s="2"/>
      <c r="X2" s="2"/>
      <c r="Y2" s="2"/>
    </row>
    <row r="3" spans="1:25" ht="45" x14ac:dyDescent="0.25">
      <c r="A3" s="1" t="s">
        <v>4</v>
      </c>
      <c r="B3" s="1" t="s">
        <v>5</v>
      </c>
      <c r="C3" s="1" t="s">
        <v>2</v>
      </c>
      <c r="D3" s="1">
        <v>144.35</v>
      </c>
      <c r="E3" s="1">
        <v>0.27152777777777776</v>
      </c>
      <c r="F3" s="9">
        <f t="shared" si="0"/>
        <v>4.7980416666666663</v>
      </c>
      <c r="G3" s="11">
        <v>15</v>
      </c>
      <c r="H3" s="9">
        <f>Tableau1[[#This Row],[PVU]]*$T$4</f>
        <v>3.1799999999999997</v>
      </c>
      <c r="I3" s="9">
        <f>G3-H3-F3</f>
        <v>7.021958333333334</v>
      </c>
      <c r="J3" s="1"/>
      <c r="K3" s="1"/>
      <c r="L3" s="1"/>
      <c r="M3" s="1"/>
      <c r="N3" s="9">
        <f>Tableau1[[#This Row],[bénéfice]]*Tableau1[[#This Row],[% dons]]</f>
        <v>0.70219583333333346</v>
      </c>
      <c r="O3" s="8">
        <v>0.1</v>
      </c>
      <c r="P3" s="10">
        <f>Tableau1[[#This Row],[bénéfice]]-Tableau1[[#This Row],[dont asso]]</f>
        <v>6.3197625000000004</v>
      </c>
      <c r="Q3" s="2"/>
      <c r="R3" s="2"/>
      <c r="S3" s="2" t="s">
        <v>15</v>
      </c>
      <c r="T3" s="3">
        <v>0.16</v>
      </c>
      <c r="W3" s="2"/>
      <c r="X3" s="2"/>
      <c r="Y3" s="2"/>
    </row>
    <row r="4" spans="1:25" ht="45" x14ac:dyDescent="0.25">
      <c r="A4" s="1" t="s">
        <v>6</v>
      </c>
      <c r="B4" s="1" t="s">
        <v>7</v>
      </c>
      <c r="C4" s="1" t="s">
        <v>2</v>
      </c>
      <c r="D4" s="1">
        <v>1.17</v>
      </c>
      <c r="E4" s="1">
        <v>0.16250000000000001</v>
      </c>
      <c r="F4" s="9">
        <f t="shared" si="0"/>
        <v>0.7410000000000001</v>
      </c>
      <c r="G4" s="11">
        <v>2</v>
      </c>
      <c r="H4" s="9">
        <f>Tableau1[[#This Row],[PVU]]*$T$4</f>
        <v>0.42399999999999999</v>
      </c>
      <c r="I4" s="9">
        <f t="shared" ref="I4:I7" si="1">G4-H4-F4</f>
        <v>0.83499999999999996</v>
      </c>
      <c r="J4" s="1"/>
      <c r="K4" s="1"/>
      <c r="L4" s="1"/>
      <c r="M4" s="1"/>
      <c r="N4" s="9">
        <f>Tableau1[[#This Row],[bénéfice]]*Tableau1[[#This Row],[% dons]]</f>
        <v>0.41749999999999998</v>
      </c>
      <c r="O4" s="8">
        <v>0.5</v>
      </c>
      <c r="P4" s="10">
        <f>Tableau1[[#This Row],[bénéfice]]-Tableau1[[#This Row],[dont asso]]</f>
        <v>0.41749999999999998</v>
      </c>
      <c r="Q4" s="2"/>
      <c r="R4" s="2"/>
      <c r="S4" s="2" t="s">
        <v>25</v>
      </c>
      <c r="T4" s="2">
        <v>0.21199999999999999</v>
      </c>
      <c r="W4" s="2"/>
      <c r="X4" s="2"/>
      <c r="Y4" s="2"/>
    </row>
    <row r="5" spans="1:25" ht="45" x14ac:dyDescent="0.25">
      <c r="A5" s="1" t="s">
        <v>9</v>
      </c>
      <c r="B5" s="1" t="s">
        <v>10</v>
      </c>
      <c r="C5" s="1" t="s">
        <v>11</v>
      </c>
      <c r="D5" s="1">
        <v>18.440000000000001</v>
      </c>
      <c r="E5" s="1">
        <v>3.0555555555555555E-2</v>
      </c>
      <c r="F5" s="9">
        <f t="shared" si="0"/>
        <v>0.59483333333333344</v>
      </c>
      <c r="G5" s="11">
        <v>5</v>
      </c>
      <c r="H5" s="9">
        <f>Tableau1[[#This Row],[PVU]]*$T$4</f>
        <v>1.06</v>
      </c>
      <c r="I5" s="9">
        <f t="shared" si="1"/>
        <v>3.3451666666666666</v>
      </c>
      <c r="J5" s="1"/>
      <c r="K5" s="1">
        <v>12.74</v>
      </c>
      <c r="L5" s="1">
        <v>5.71</v>
      </c>
      <c r="M5" s="1">
        <v>1</v>
      </c>
      <c r="N5" s="9">
        <f>Tableau1[[#This Row],[bénéfice]]*Tableau1[[#This Row],[% dons]]</f>
        <v>0.33451666666666668</v>
      </c>
      <c r="O5" s="8">
        <v>0.1</v>
      </c>
      <c r="P5" s="10">
        <f>Tableau1[[#This Row],[bénéfice]]-Tableau1[[#This Row],[dont asso]]</f>
        <v>3.01065</v>
      </c>
      <c r="Q5" s="2"/>
      <c r="R5" s="2"/>
      <c r="S5" s="2"/>
      <c r="T5" s="2"/>
      <c r="W5" s="2"/>
      <c r="X5" s="2"/>
      <c r="Y5" s="2"/>
    </row>
    <row r="6" spans="1:25" ht="30" x14ac:dyDescent="0.25">
      <c r="A6" s="1" t="s">
        <v>13</v>
      </c>
      <c r="B6" s="1" t="s">
        <v>14</v>
      </c>
      <c r="C6" s="1" t="s">
        <v>2</v>
      </c>
      <c r="D6" s="1">
        <v>18.399999999999999</v>
      </c>
      <c r="E6" s="1">
        <v>6.5277777777777782E-2</v>
      </c>
      <c r="F6" s="9">
        <f t="shared" si="0"/>
        <v>0.74591666666666667</v>
      </c>
      <c r="G6" s="11">
        <v>4</v>
      </c>
      <c r="H6" s="9">
        <f>Tableau1[[#This Row],[PVU]]*$T$4</f>
        <v>0.84799999999999998</v>
      </c>
      <c r="I6" s="9">
        <f t="shared" si="1"/>
        <v>2.4060833333333336</v>
      </c>
      <c r="J6" s="1"/>
      <c r="K6" s="1"/>
      <c r="L6" s="1"/>
      <c r="M6" s="1"/>
      <c r="N6" s="9">
        <f>Tableau1[[#This Row],[bénéfice]]*Tableau1[[#This Row],[% dons]]</f>
        <v>0.24060833333333337</v>
      </c>
      <c r="O6" s="8">
        <v>0.1</v>
      </c>
      <c r="P6" s="10">
        <f>Tableau1[[#This Row],[bénéfice]]-Tableau1[[#This Row],[dont asso]]</f>
        <v>2.1654750000000003</v>
      </c>
      <c r="Q6" s="2"/>
      <c r="R6" s="2"/>
      <c r="S6" s="2"/>
      <c r="T6" s="2"/>
      <c r="U6" s="2"/>
      <c r="V6" s="2"/>
      <c r="W6" s="2"/>
      <c r="X6" s="2"/>
      <c r="Y6" s="2"/>
    </row>
    <row r="7" spans="1:25" ht="30" x14ac:dyDescent="0.25">
      <c r="A7" s="1" t="s">
        <v>16</v>
      </c>
      <c r="B7" s="1" t="s">
        <v>17</v>
      </c>
      <c r="C7" s="1" t="s">
        <v>2</v>
      </c>
      <c r="D7" s="1">
        <v>18.86</v>
      </c>
      <c r="E7" s="6">
        <v>7.9861111111111105E-2</v>
      </c>
      <c r="F7" s="9">
        <f t="shared" si="0"/>
        <v>0.82129166666666664</v>
      </c>
      <c r="G7" s="11">
        <v>4</v>
      </c>
      <c r="H7" s="9">
        <f>Tableau1[[#This Row],[PVU]]*$T$4</f>
        <v>0.84799999999999998</v>
      </c>
      <c r="I7" s="9">
        <f t="shared" si="1"/>
        <v>2.3307083333333334</v>
      </c>
      <c r="J7" s="1"/>
      <c r="K7" s="1"/>
      <c r="L7" s="1"/>
      <c r="M7" s="1"/>
      <c r="N7" s="9">
        <f>Tableau1[[#This Row],[bénéfice]]*Tableau1[[#This Row],[% dons]]</f>
        <v>0.23307083333333334</v>
      </c>
      <c r="O7" s="8">
        <v>0.1</v>
      </c>
      <c r="P7" s="10">
        <f>Tableau1[[#This Row],[bénéfice]]-Tableau1[[#This Row],[dont asso]]</f>
        <v>2.0976375000000003</v>
      </c>
      <c r="Q7" s="2"/>
      <c r="R7" s="2"/>
      <c r="S7" s="2"/>
      <c r="T7" s="2"/>
      <c r="U7" s="2"/>
      <c r="V7" s="2"/>
      <c r="W7" s="2"/>
      <c r="X7" s="2"/>
      <c r="Y7" s="2"/>
    </row>
    <row r="8" spans="1:25" x14ac:dyDescent="0.25">
      <c r="A8" s="2"/>
      <c r="B8" s="2"/>
      <c r="C8" s="2"/>
      <c r="D8" s="2"/>
      <c r="E8" s="2"/>
      <c r="F8" s="2"/>
      <c r="G8" s="2"/>
      <c r="H8" s="2"/>
      <c r="I8" s="2"/>
      <c r="J8" s="2"/>
      <c r="K8" s="2"/>
      <c r="L8" s="2"/>
      <c r="M8" s="2"/>
      <c r="N8" s="2"/>
      <c r="O8" s="2"/>
      <c r="P8" s="2"/>
      <c r="Q8" s="2"/>
      <c r="R8" s="2"/>
      <c r="S8" s="2"/>
      <c r="T8" s="4"/>
      <c r="U8" s="5"/>
      <c r="V8" s="2"/>
      <c r="W8" s="2"/>
      <c r="X8" s="2"/>
    </row>
    <row r="9" spans="1:25" x14ac:dyDescent="0.25">
      <c r="A9" s="2"/>
      <c r="B9" s="2"/>
      <c r="C9" s="2"/>
      <c r="D9" s="2"/>
      <c r="E9" s="2"/>
      <c r="F9" s="2"/>
      <c r="G9" s="2"/>
      <c r="H9" s="2"/>
      <c r="I9" s="2"/>
      <c r="J9" s="2"/>
      <c r="K9" s="2"/>
      <c r="L9" s="2"/>
      <c r="M9" s="2"/>
      <c r="N9" s="2"/>
      <c r="O9" s="2"/>
      <c r="P9" s="2"/>
      <c r="Q9" s="2"/>
      <c r="R9" s="2"/>
      <c r="S9" s="2"/>
      <c r="T9" s="4"/>
      <c r="U9" s="5"/>
      <c r="V9" s="2"/>
      <c r="W9" s="2"/>
      <c r="X9" s="2"/>
    </row>
    <row r="10" spans="1:25" x14ac:dyDescent="0.25">
      <c r="A10" s="2"/>
      <c r="B10" s="2"/>
      <c r="C10" s="2"/>
      <c r="D10" s="2"/>
      <c r="E10" s="2"/>
      <c r="F10" s="2"/>
      <c r="G10" s="2"/>
      <c r="H10" s="2"/>
      <c r="I10" s="2"/>
      <c r="J10" s="2"/>
      <c r="K10" s="2"/>
      <c r="L10" s="2"/>
      <c r="M10" s="2"/>
      <c r="N10" s="2"/>
      <c r="O10" s="2"/>
      <c r="P10" s="2"/>
      <c r="Q10" s="2"/>
      <c r="R10" s="2"/>
      <c r="S10" s="2"/>
      <c r="T10" s="2"/>
      <c r="U10" s="2"/>
      <c r="V10" s="2"/>
      <c r="W10" s="2"/>
      <c r="X10" s="2"/>
    </row>
    <row r="11" spans="1:25" x14ac:dyDescent="0.25">
      <c r="A11" s="2"/>
      <c r="B11" s="2"/>
      <c r="C11" s="2"/>
      <c r="D11" s="2"/>
      <c r="E11" s="2"/>
      <c r="F11" s="2"/>
      <c r="G11" s="2"/>
      <c r="H11" s="2"/>
      <c r="I11" s="2"/>
      <c r="J11" s="2"/>
      <c r="K11" s="2"/>
      <c r="L11" s="2"/>
      <c r="M11" s="2"/>
      <c r="N11" s="2"/>
      <c r="O11" s="2"/>
      <c r="P11" s="2"/>
      <c r="Q11" s="2"/>
      <c r="R11" s="2"/>
      <c r="S11" s="2"/>
      <c r="T11" s="2"/>
      <c r="U11" s="2"/>
      <c r="V11" s="2"/>
      <c r="W11" s="2"/>
      <c r="X11" s="2"/>
    </row>
    <row r="12" spans="1:25" x14ac:dyDescent="0.25">
      <c r="A12" s="2"/>
      <c r="B12" s="2"/>
      <c r="C12" s="2"/>
      <c r="D12" s="2"/>
      <c r="E12" s="2"/>
      <c r="F12" s="2"/>
      <c r="G12" s="2"/>
      <c r="H12" s="2"/>
      <c r="I12" s="2"/>
      <c r="J12" s="2"/>
      <c r="K12" s="2"/>
      <c r="L12" s="2"/>
      <c r="M12" s="2"/>
      <c r="N12" s="2"/>
      <c r="O12" s="2"/>
      <c r="P12" s="2"/>
      <c r="Q12" s="2"/>
      <c r="R12" s="2"/>
      <c r="S12" s="2"/>
      <c r="T12" s="2"/>
      <c r="U12" s="2"/>
      <c r="V12" s="2"/>
      <c r="W12" s="2"/>
      <c r="X12" s="2"/>
    </row>
    <row r="13" spans="1:25" x14ac:dyDescent="0.25">
      <c r="A13" s="2"/>
      <c r="B13" s="2"/>
      <c r="C13" s="2"/>
      <c r="D13" s="2"/>
      <c r="E13" s="2"/>
      <c r="F13" s="2"/>
      <c r="G13" s="2"/>
      <c r="H13" s="2"/>
      <c r="I13" s="2"/>
      <c r="J13" s="2"/>
      <c r="K13" s="2"/>
      <c r="L13" s="2"/>
      <c r="M13" s="2"/>
      <c r="N13" s="2"/>
      <c r="O13" s="2"/>
      <c r="P13" s="2"/>
      <c r="Q13" s="2"/>
      <c r="R13" s="2"/>
      <c r="S13" s="2"/>
      <c r="T13" s="2"/>
      <c r="U13" s="2"/>
      <c r="V13" s="2"/>
      <c r="W13" s="2"/>
      <c r="X13" s="2"/>
    </row>
    <row r="14" spans="1:25" x14ac:dyDescent="0.25">
      <c r="A14" s="2"/>
      <c r="B14" s="2"/>
      <c r="C14" s="2"/>
      <c r="D14" s="2"/>
      <c r="E14" s="2"/>
      <c r="F14" s="2"/>
      <c r="G14" s="2"/>
      <c r="H14" s="2"/>
      <c r="I14" s="2"/>
      <c r="J14" s="2"/>
      <c r="K14" s="2"/>
      <c r="L14" s="2"/>
      <c r="M14" s="2"/>
      <c r="N14" s="2"/>
      <c r="O14" s="2"/>
      <c r="P14" s="2"/>
      <c r="Q14" s="2"/>
      <c r="R14" s="2"/>
      <c r="S14" s="2"/>
      <c r="T14" s="2"/>
      <c r="U14" s="2"/>
      <c r="V14" s="2"/>
      <c r="W14" s="2"/>
      <c r="X14" s="2"/>
    </row>
    <row r="15" spans="1:25" x14ac:dyDescent="0.25">
      <c r="A15" s="2"/>
      <c r="B15" s="2"/>
      <c r="C15" s="2"/>
      <c r="D15" s="2"/>
      <c r="E15" s="2"/>
      <c r="F15" s="2"/>
      <c r="G15" s="2"/>
      <c r="H15" s="2"/>
      <c r="I15" s="2"/>
      <c r="J15" s="2"/>
      <c r="K15" s="2"/>
      <c r="L15" s="2"/>
      <c r="M15" s="2"/>
      <c r="N15" s="2"/>
      <c r="O15" s="2"/>
      <c r="P15" s="2"/>
      <c r="Q15" s="2"/>
      <c r="R15" s="2"/>
      <c r="S15" s="2"/>
      <c r="T15" s="2"/>
      <c r="U15" s="2"/>
      <c r="V15" s="2"/>
      <c r="W15" s="2"/>
      <c r="X15" s="2"/>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FE4FEB-1F95-4061-91E5-8B19782CFDAB}">
  <dimension ref="A1:G31"/>
  <sheetViews>
    <sheetView workbookViewId="0">
      <selection activeCell="K18" sqref="K18"/>
    </sheetView>
  </sheetViews>
  <sheetFormatPr baseColWidth="10" defaultColWidth="9.140625" defaultRowHeight="15" x14ac:dyDescent="0.25"/>
  <cols>
    <col min="1" max="1" width="38" customWidth="1"/>
    <col min="2" max="2" width="16" customWidth="1"/>
    <col min="3" max="3" width="28" customWidth="1"/>
    <col min="4" max="7" width="18" customWidth="1"/>
  </cols>
  <sheetData>
    <row r="1" spans="1:7" ht="39.950000000000003" customHeight="1" x14ac:dyDescent="0.25">
      <c r="A1" s="32" t="s">
        <v>81</v>
      </c>
      <c r="B1" s="16"/>
      <c r="C1" s="16"/>
      <c r="D1" s="16"/>
      <c r="E1" s="16"/>
      <c r="F1" s="16"/>
      <c r="G1" s="16"/>
    </row>
    <row r="3" spans="1:7" ht="15.75" x14ac:dyDescent="0.25">
      <c r="A3" s="17" t="s">
        <v>80</v>
      </c>
      <c r="B3" s="16"/>
      <c r="C3" s="16"/>
    </row>
    <row r="4" spans="1:7" ht="15.75" thickBot="1" x14ac:dyDescent="0.3">
      <c r="A4" s="15" t="s">
        <v>79</v>
      </c>
      <c r="B4" s="15" t="s">
        <v>55</v>
      </c>
      <c r="C4" s="15" t="s">
        <v>78</v>
      </c>
    </row>
    <row r="5" spans="1:7" x14ac:dyDescent="0.25">
      <c r="A5" s="14" t="s">
        <v>77</v>
      </c>
      <c r="B5" s="31">
        <v>0.21199999999999999</v>
      </c>
      <c r="C5" s="21" t="s">
        <v>76</v>
      </c>
    </row>
    <row r="6" spans="1:7" x14ac:dyDescent="0.25">
      <c r="A6" s="14" t="s">
        <v>75</v>
      </c>
      <c r="B6" s="29">
        <v>0.5</v>
      </c>
      <c r="C6" s="21" t="s">
        <v>74</v>
      </c>
    </row>
    <row r="7" spans="1:7" x14ac:dyDescent="0.25">
      <c r="A7" s="14" t="s">
        <v>73</v>
      </c>
      <c r="B7" s="29">
        <v>0.25</v>
      </c>
      <c r="C7" s="21" t="s">
        <v>72</v>
      </c>
    </row>
    <row r="8" spans="1:7" x14ac:dyDescent="0.25">
      <c r="A8" s="14" t="s">
        <v>71</v>
      </c>
      <c r="B8" s="30">
        <v>150</v>
      </c>
      <c r="C8" s="21" t="s">
        <v>70</v>
      </c>
    </row>
    <row r="9" spans="1:7" x14ac:dyDescent="0.25">
      <c r="A9" s="14" t="s">
        <v>69</v>
      </c>
      <c r="B9" s="29">
        <v>20</v>
      </c>
      <c r="C9" s="21" t="s">
        <v>68</v>
      </c>
    </row>
    <row r="11" spans="1:7" ht="15.75" x14ac:dyDescent="0.25">
      <c r="A11" s="17" t="s">
        <v>67</v>
      </c>
      <c r="B11" s="16"/>
      <c r="C11" s="16"/>
      <c r="D11" s="16"/>
      <c r="E11" s="16"/>
      <c r="F11" s="16"/>
      <c r="G11" s="16"/>
    </row>
    <row r="12" spans="1:7" ht="15.75" thickBot="1" x14ac:dyDescent="0.3">
      <c r="A12" s="15" t="s">
        <v>66</v>
      </c>
      <c r="B12" s="15" t="s">
        <v>65</v>
      </c>
      <c r="C12" s="15" t="s">
        <v>64</v>
      </c>
      <c r="D12" s="15" t="s">
        <v>63</v>
      </c>
      <c r="E12" s="15" t="s">
        <v>62</v>
      </c>
      <c r="F12" s="15" t="s">
        <v>51</v>
      </c>
      <c r="G12" s="15" t="s">
        <v>50</v>
      </c>
    </row>
    <row r="13" spans="1:7" x14ac:dyDescent="0.25">
      <c r="A13" s="26" t="s">
        <v>61</v>
      </c>
      <c r="B13" s="27">
        <v>15</v>
      </c>
      <c r="C13" s="28">
        <v>0.5</v>
      </c>
      <c r="D13" s="24">
        <f>B13*C13</f>
        <v>7.5</v>
      </c>
      <c r="E13" s="27">
        <v>15</v>
      </c>
      <c r="F13" s="24">
        <f>E13*$B$5</f>
        <v>3.1799999999999997</v>
      </c>
      <c r="G13" s="24">
        <f>E13-D13-F13</f>
        <v>4.32</v>
      </c>
    </row>
    <row r="14" spans="1:7" x14ac:dyDescent="0.25">
      <c r="A14" s="26" t="s">
        <v>60</v>
      </c>
      <c r="B14" s="27">
        <v>20</v>
      </c>
      <c r="C14" s="28">
        <v>1</v>
      </c>
      <c r="D14" s="24">
        <f>B14*C14</f>
        <v>20</v>
      </c>
      <c r="E14" s="27">
        <v>30</v>
      </c>
      <c r="F14" s="24">
        <f>E14*$B$5</f>
        <v>6.3599999999999994</v>
      </c>
      <c r="G14" s="24">
        <f>E14-D14-F14</f>
        <v>3.6400000000000006</v>
      </c>
    </row>
    <row r="15" spans="1:7" x14ac:dyDescent="0.25">
      <c r="A15" s="26" t="s">
        <v>59</v>
      </c>
      <c r="B15" s="27">
        <v>20</v>
      </c>
      <c r="C15" s="28">
        <v>2</v>
      </c>
      <c r="D15" s="24">
        <f>B15*C15</f>
        <v>40</v>
      </c>
      <c r="E15" s="27">
        <v>45</v>
      </c>
      <c r="F15" s="24">
        <f>E15*$B$5</f>
        <v>9.5399999999999991</v>
      </c>
      <c r="G15" s="24">
        <f>E15-D15-F15</f>
        <v>-4.5399999999999991</v>
      </c>
    </row>
    <row r="16" spans="1:7" x14ac:dyDescent="0.25">
      <c r="A16" s="26" t="s">
        <v>58</v>
      </c>
      <c r="B16" s="24">
        <v>0</v>
      </c>
      <c r="C16" s="25">
        <v>0</v>
      </c>
      <c r="D16" s="24">
        <f>B16*C16</f>
        <v>0</v>
      </c>
      <c r="E16" s="24">
        <v>0</v>
      </c>
      <c r="F16" s="24">
        <f>E16*$B$5</f>
        <v>0</v>
      </c>
      <c r="G16" s="24">
        <f>E16-D16-F16</f>
        <v>0</v>
      </c>
    </row>
    <row r="18" spans="1:7" ht="15.75" x14ac:dyDescent="0.25">
      <c r="A18" s="17" t="s">
        <v>57</v>
      </c>
      <c r="B18" s="16"/>
      <c r="C18" s="16"/>
      <c r="D18" s="16"/>
      <c r="E18" s="16"/>
      <c r="F18" s="16"/>
      <c r="G18" s="16"/>
    </row>
    <row r="19" spans="1:7" ht="15.75" thickBot="1" x14ac:dyDescent="0.3">
      <c r="A19" s="15" t="s">
        <v>56</v>
      </c>
      <c r="B19" s="15" t="s">
        <v>55</v>
      </c>
      <c r="C19" s="15" t="s">
        <v>54</v>
      </c>
      <c r="D19" s="15" t="s">
        <v>53</v>
      </c>
      <c r="E19" s="15" t="s">
        <v>52</v>
      </c>
      <c r="F19" s="15" t="s">
        <v>51</v>
      </c>
      <c r="G19" s="15" t="s">
        <v>50</v>
      </c>
    </row>
    <row r="20" spans="1:7" x14ac:dyDescent="0.25">
      <c r="A20" s="14" t="s">
        <v>49</v>
      </c>
      <c r="B20" s="23">
        <v>150</v>
      </c>
      <c r="C20" s="21" t="s">
        <v>48</v>
      </c>
      <c r="D20" s="19"/>
      <c r="E20" s="19"/>
      <c r="F20" s="19"/>
      <c r="G20" s="19"/>
    </row>
    <row r="21" spans="1:7" x14ac:dyDescent="0.25">
      <c r="A21" s="14" t="s">
        <v>47</v>
      </c>
      <c r="B21" s="22" t="s">
        <v>46</v>
      </c>
      <c r="C21" s="21" t="s">
        <v>45</v>
      </c>
      <c r="D21" s="19"/>
      <c r="E21" s="19"/>
      <c r="F21" s="19"/>
      <c r="G21" s="19"/>
    </row>
    <row r="22" spans="1:7" x14ac:dyDescent="0.25">
      <c r="A22" s="14" t="s">
        <v>44</v>
      </c>
      <c r="B22" s="19"/>
      <c r="C22" s="19"/>
      <c r="D22" s="12">
        <f>(B20/1000)*$B$9</f>
        <v>3</v>
      </c>
      <c r="E22" s="19"/>
      <c r="F22" s="19"/>
      <c r="G22" s="19"/>
    </row>
    <row r="23" spans="1:7" x14ac:dyDescent="0.25">
      <c r="A23" s="14" t="s">
        <v>43</v>
      </c>
      <c r="B23" s="19"/>
      <c r="C23" s="19"/>
      <c r="D23" s="12">
        <f>((HOUR(B21)+MINUTE(B21)/60)*($B$8/1000))*$B$7</f>
        <v>0.24437499999999998</v>
      </c>
      <c r="E23" s="19"/>
      <c r="F23" s="19"/>
      <c r="G23" s="19"/>
    </row>
    <row r="24" spans="1:7" x14ac:dyDescent="0.25">
      <c r="A24" s="14" t="s">
        <v>42</v>
      </c>
      <c r="B24" s="19"/>
      <c r="C24" s="19"/>
      <c r="D24" s="12">
        <f>(HOUR(B21)+MINUTE(B21)/60)*$B$6</f>
        <v>3.2583333333333333</v>
      </c>
      <c r="E24" s="19"/>
      <c r="F24" s="19"/>
      <c r="G24" s="19"/>
    </row>
    <row r="25" spans="1:7" x14ac:dyDescent="0.25">
      <c r="A25" s="20" t="s">
        <v>41</v>
      </c>
      <c r="B25" s="19"/>
      <c r="C25" s="19"/>
      <c r="D25" s="12">
        <f>D22+D23+D24</f>
        <v>6.5027083333333326</v>
      </c>
      <c r="E25" s="18">
        <v>30</v>
      </c>
      <c r="F25" s="12">
        <f>E25*$B$5</f>
        <v>6.3599999999999994</v>
      </c>
      <c r="G25" s="12">
        <f>E25-D25-F25</f>
        <v>17.13729166666667</v>
      </c>
    </row>
    <row r="28" spans="1:7" ht="15.75" x14ac:dyDescent="0.25">
      <c r="A28" s="17" t="s">
        <v>40</v>
      </c>
      <c r="B28" s="16"/>
      <c r="C28" s="16"/>
      <c r="D28" s="16"/>
      <c r="E28" s="16"/>
      <c r="F28" s="16"/>
      <c r="G28" s="16"/>
    </row>
    <row r="29" spans="1:7" ht="15.75" thickBot="1" x14ac:dyDescent="0.3">
      <c r="A29" s="15" t="s">
        <v>39</v>
      </c>
      <c r="B29" s="15" t="s">
        <v>38</v>
      </c>
      <c r="C29" s="15" t="s">
        <v>37</v>
      </c>
      <c r="D29" s="15" t="s">
        <v>36</v>
      </c>
    </row>
    <row r="30" spans="1:7" x14ac:dyDescent="0.25">
      <c r="A30" s="14" t="s">
        <v>35</v>
      </c>
      <c r="B30" s="12">
        <v>16.899999999999999</v>
      </c>
      <c r="C30" s="13">
        <v>25</v>
      </c>
      <c r="D30" s="12">
        <f>C30-B30</f>
        <v>8.1000000000000014</v>
      </c>
    </row>
    <row r="31" spans="1:7" x14ac:dyDescent="0.25">
      <c r="A31" s="14" t="s">
        <v>34</v>
      </c>
      <c r="B31" s="12">
        <v>22</v>
      </c>
      <c r="C31" s="13">
        <v>32</v>
      </c>
      <c r="D31" s="12">
        <f>C31-B31</f>
        <v>10</v>
      </c>
    </row>
  </sheetData>
  <mergeCells count="5">
    <mergeCell ref="A1:G1"/>
    <mergeCell ref="A18:G18"/>
    <mergeCell ref="A3:C3"/>
    <mergeCell ref="A11:G11"/>
    <mergeCell ref="A28:G28"/>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333BE-EABE-48E2-9697-BA4BA33D3938}">
  <dimension ref="A1:F21"/>
  <sheetViews>
    <sheetView tabSelected="1" workbookViewId="0">
      <selection activeCell="C28" sqref="C28"/>
    </sheetView>
  </sheetViews>
  <sheetFormatPr baseColWidth="10" defaultColWidth="9.140625" defaultRowHeight="15" x14ac:dyDescent="0.25"/>
  <cols>
    <col min="1" max="1" width="14" customWidth="1"/>
    <col min="2" max="2" width="42" customWidth="1"/>
    <col min="3" max="3" width="24" customWidth="1"/>
    <col min="4" max="4" width="10" customWidth="1"/>
    <col min="5" max="6" width="18" customWidth="1"/>
  </cols>
  <sheetData>
    <row r="1" spans="1:6" ht="39.950000000000003" customHeight="1" x14ac:dyDescent="0.25">
      <c r="A1" s="32" t="s">
        <v>106</v>
      </c>
      <c r="B1" s="16"/>
      <c r="C1" s="16"/>
      <c r="D1" s="16"/>
      <c r="E1" s="16"/>
      <c r="F1" s="16"/>
    </row>
    <row r="3" spans="1:6" ht="15.75" x14ac:dyDescent="0.25">
      <c r="A3" s="46" t="s">
        <v>105</v>
      </c>
      <c r="D3" s="46" t="s">
        <v>104</v>
      </c>
    </row>
    <row r="4" spans="1:6" ht="69.95" customHeight="1" x14ac:dyDescent="0.25">
      <c r="A4" s="45" t="s">
        <v>103</v>
      </c>
      <c r="D4" s="45" t="s">
        <v>102</v>
      </c>
    </row>
    <row r="7" spans="1:6" ht="15.75" x14ac:dyDescent="0.25">
      <c r="A7" s="17" t="s">
        <v>101</v>
      </c>
      <c r="B7" s="16"/>
      <c r="C7" s="16"/>
      <c r="D7" s="16"/>
      <c r="E7" s="16"/>
      <c r="F7" s="16"/>
    </row>
    <row r="8" spans="1:6" ht="15.75" thickBot="1" x14ac:dyDescent="0.3">
      <c r="A8" s="15" t="s">
        <v>100</v>
      </c>
      <c r="B8" s="15" t="s">
        <v>99</v>
      </c>
      <c r="C8" s="15" t="s">
        <v>98</v>
      </c>
      <c r="D8" s="15" t="s">
        <v>97</v>
      </c>
      <c r="E8" s="15" t="s">
        <v>96</v>
      </c>
      <c r="F8" s="15" t="s">
        <v>95</v>
      </c>
    </row>
    <row r="9" spans="1:6" x14ac:dyDescent="0.25">
      <c r="A9" s="43" t="s">
        <v>94</v>
      </c>
      <c r="B9" s="14" t="s">
        <v>93</v>
      </c>
      <c r="C9" s="44" t="s">
        <v>59</v>
      </c>
      <c r="D9" s="41">
        <v>1</v>
      </c>
      <c r="E9" s="24">
        <f>VLOOKUP(C9, 'Calculs &amp; Barème'!$A$13:$E$15, 5, FALSE)</f>
        <v>45</v>
      </c>
      <c r="F9" s="24">
        <f>D9*E9</f>
        <v>45</v>
      </c>
    </row>
    <row r="10" spans="1:6" x14ac:dyDescent="0.25">
      <c r="A10" s="43" t="s">
        <v>92</v>
      </c>
      <c r="B10" s="14" t="s">
        <v>91</v>
      </c>
      <c r="C10" s="42" t="s">
        <v>86</v>
      </c>
      <c r="D10" s="41">
        <v>1</v>
      </c>
      <c r="E10" s="24">
        <v>0</v>
      </c>
      <c r="F10" s="24">
        <f>D10*E10</f>
        <v>0</v>
      </c>
    </row>
    <row r="11" spans="1:6" x14ac:dyDescent="0.25">
      <c r="A11" s="43" t="s">
        <v>90</v>
      </c>
      <c r="B11" s="14" t="s">
        <v>89</v>
      </c>
      <c r="C11" s="42" t="s">
        <v>86</v>
      </c>
      <c r="D11" s="41">
        <v>1</v>
      </c>
      <c r="E11" s="24">
        <f>IF(C11="Oui", 'Calculs &amp; Barème'!E25, 0)</f>
        <v>30</v>
      </c>
      <c r="F11" s="24">
        <f>D11*E11</f>
        <v>30</v>
      </c>
    </row>
    <row r="12" spans="1:6" x14ac:dyDescent="0.25">
      <c r="A12" s="43" t="s">
        <v>88</v>
      </c>
      <c r="B12" s="14" t="s">
        <v>87</v>
      </c>
      <c r="C12" s="42" t="s">
        <v>86</v>
      </c>
      <c r="D12" s="41">
        <v>1</v>
      </c>
      <c r="E12" s="24">
        <f>IF(AND(C12="Oui", C11="Oui"), 'Calculs &amp; Barème'!C30, 0)</f>
        <v>25</v>
      </c>
      <c r="F12" s="24">
        <f>D12*E12</f>
        <v>25</v>
      </c>
    </row>
    <row r="14" spans="1:6" x14ac:dyDescent="0.25">
      <c r="E14" s="40" t="s">
        <v>85</v>
      </c>
      <c r="F14" s="39">
        <f>SUM(F9:F12)</f>
        <v>100</v>
      </c>
    </row>
    <row r="15" spans="1:6" x14ac:dyDescent="0.25">
      <c r="E15" s="38" t="s">
        <v>84</v>
      </c>
      <c r="F15" s="37">
        <v>0</v>
      </c>
    </row>
    <row r="16" spans="1:6" ht="21" x14ac:dyDescent="0.25">
      <c r="E16" s="36" t="s">
        <v>83</v>
      </c>
      <c r="F16" s="35">
        <f>F14+F15</f>
        <v>100</v>
      </c>
    </row>
    <row r="18" spans="1:6" x14ac:dyDescent="0.25">
      <c r="A18" s="34" t="s">
        <v>82</v>
      </c>
      <c r="B18" s="33"/>
      <c r="C18" s="33"/>
      <c r="D18" s="33"/>
      <c r="E18" s="33"/>
      <c r="F18" s="33"/>
    </row>
    <row r="19" spans="1:6" x14ac:dyDescent="0.25">
      <c r="A19" s="33"/>
      <c r="B19" s="33"/>
      <c r="C19" s="33"/>
      <c r="D19" s="33"/>
      <c r="E19" s="33"/>
      <c r="F19" s="33"/>
    </row>
    <row r="20" spans="1:6" x14ac:dyDescent="0.25">
      <c r="A20" s="33"/>
      <c r="B20" s="33"/>
      <c r="C20" s="33"/>
      <c r="D20" s="33"/>
      <c r="E20" s="33"/>
      <c r="F20" s="33"/>
    </row>
    <row r="21" spans="1:6" x14ac:dyDescent="0.25">
      <c r="A21" s="33"/>
      <c r="B21" s="33"/>
      <c r="C21" s="33"/>
      <c r="D21" s="33"/>
      <c r="E21" s="33"/>
      <c r="F21" s="33"/>
    </row>
  </sheetData>
  <mergeCells count="3">
    <mergeCell ref="A1:F1"/>
    <mergeCell ref="A7:F7"/>
    <mergeCell ref="A18:F21"/>
  </mergeCells>
  <dataValidations count="2">
    <dataValidation type="list" sqref="C10:C12" xr:uid="{00000000-0002-0000-0100-000001000000}">
      <formula1>"Oui,Non"</formula1>
    </dataValidation>
    <dataValidation type="list" sqref="C9" xr:uid="{00000000-0002-0000-0100-000000000000}">
      <formula1>"Conception simple,Reproduction technique,Conception technique"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3</vt:i4>
      </vt:variant>
    </vt:vector>
  </HeadingPairs>
  <TitlesOfParts>
    <vt:vector size="3" baseType="lpstr">
      <vt:lpstr>Feuil1</vt:lpstr>
      <vt:lpstr>Calculs &amp; Barème</vt:lpstr>
      <vt:lpstr>Devis Client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DUBLE Inaia</dc:creator>
  <cp:lastModifiedBy>Inaïa Dublé</cp:lastModifiedBy>
  <dcterms:created xsi:type="dcterms:W3CDTF">2026-07-17T20:04:19Z</dcterms:created>
  <dcterms:modified xsi:type="dcterms:W3CDTF">2026-07-25T16:45:24Z</dcterms:modified>
</cp:coreProperties>
</file>