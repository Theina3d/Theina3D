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heina3D\Theina3D\Produit\"/>
    </mc:Choice>
  </mc:AlternateContent>
  <xr:revisionPtr revIDLastSave="0" documentId="8_{490FA8C6-FFE6-4BB1-8689-AD70771CB219}" xr6:coauthVersionLast="47" xr6:coauthVersionMax="47" xr10:uidLastSave="{00000000-0000-0000-0000-000000000000}"/>
  <bookViews>
    <workbookView xWindow="-120" yWindow="-120" windowWidth="29040" windowHeight="15720" xr2:uid="{C8E30C7B-B677-4B82-9030-6930B4140F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H2" i="1"/>
  <c r="H3" i="1"/>
  <c r="H4" i="1"/>
  <c r="H5" i="1"/>
  <c r="H6" i="1"/>
  <c r="H7" i="1"/>
  <c r="F3" i="1"/>
  <c r="F4" i="1"/>
  <c r="F5" i="1"/>
  <c r="F6" i="1"/>
  <c r="F7" i="1"/>
  <c r="F2" i="1"/>
  <c r="I5" i="1" l="1"/>
  <c r="I3" i="1"/>
  <c r="I4" i="1"/>
  <c r="I7" i="1"/>
  <c r="I6" i="1"/>
  <c r="I2" i="1"/>
  <c r="P7" i="1" l="1"/>
  <c r="P4" i="1"/>
  <c r="P6" i="1"/>
  <c r="P3" i="1"/>
  <c r="P2" i="1"/>
  <c r="P5" i="1"/>
</calcChain>
</file>

<file path=xl/sharedStrings.xml><?xml version="1.0" encoding="utf-8"?>
<sst xmlns="http://schemas.openxmlformats.org/spreadsheetml/2006/main" count="39" uniqueCount="34">
  <si>
    <t>Skadis_Casque_Support - Part 1</t>
  </si>
  <si>
    <t>Support Casque Skadis</t>
  </si>
  <si>
    <t>FALSE</t>
  </si>
  <si>
    <t>Casque_violet.png</t>
  </si>
  <si>
    <t>PROD-002</t>
  </si>
  <si>
    <t>Support Bouteille CO2</t>
  </si>
  <si>
    <t>PROD-004</t>
  </si>
  <si>
    <t>marque pages chat Plat</t>
  </si>
  <si>
    <t>€/kg</t>
  </si>
  <si>
    <t>PROD-005</t>
  </si>
  <si>
    <t>Enrouleur mètre ruban</t>
  </si>
  <si>
    <t>TRUE</t>
  </si>
  <si>
    <t>€kwH</t>
  </si>
  <si>
    <t>PROD-006</t>
  </si>
  <si>
    <t>Bouegoir Bas</t>
  </si>
  <si>
    <t>usure</t>
  </si>
  <si>
    <t>PROD-007</t>
  </si>
  <si>
    <t>Bouegoir Haut</t>
  </si>
  <si>
    <t>SKU</t>
  </si>
  <si>
    <t>Produit</t>
  </si>
  <si>
    <t>bicolor</t>
  </si>
  <si>
    <t>Poids</t>
  </si>
  <si>
    <t>temps</t>
  </si>
  <si>
    <t>cout de revient</t>
  </si>
  <si>
    <t>PVU</t>
  </si>
  <si>
    <t>Cotisation</t>
  </si>
  <si>
    <t>image</t>
  </si>
  <si>
    <t>poids bicolor 2</t>
  </si>
  <si>
    <t>surcout</t>
  </si>
  <si>
    <t>poid bicolor 1</t>
  </si>
  <si>
    <t>dont asso</t>
  </si>
  <si>
    <t>bénéfice</t>
  </si>
  <si>
    <t>bénéfice apres dons</t>
  </si>
  <si>
    <t>% dons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</si>
</sst>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333333"/>
      <name val="Quattrocento Sans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Border="1"/>
    <xf numFmtId="0" fontId="3" fillId="2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20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9" fontId="3" fillId="2" borderId="0" xfId="2" applyFont="1" applyFill="1" applyBorder="1" applyAlignment="1">
      <alignment vertical="center" wrapText="1"/>
    </xf>
    <xf numFmtId="44" fontId="3" fillId="2" borderId="0" xfId="1" applyFont="1" applyFill="1" applyBorder="1" applyAlignment="1">
      <alignment vertical="center" wrapText="1"/>
    </xf>
    <xf numFmtId="44" fontId="3" fillId="3" borderId="0" xfId="1" applyFont="1" applyFill="1" applyBorder="1" applyAlignment="1">
      <alignment vertical="center" wrapText="1"/>
    </xf>
    <xf numFmtId="44" fontId="3" fillId="4" borderId="0" xfId="1" applyFont="1" applyFill="1" applyBorder="1" applyAlignment="1">
      <alignment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71FAF-F61C-4F8A-ADB5-40418E571C3E}" name="Tableau1" displayName="Tableau1" ref="A1:P7" totalsRowShown="0" headerRowDxfId="6" dataDxfId="7">
  <autoFilter ref="A1:P7" xr:uid="{96A71FAF-F61C-4F8A-ADB5-40418E571C3E}"/>
  <tableColumns count="16">
    <tableColumn id="1" xr3:uid="{23D466F6-9B2B-4653-93E6-139FE75B4231}" name="SKU" dataDxfId="17"/>
    <tableColumn id="2" xr3:uid="{595C2037-E6C0-4AAD-95EC-4AA427A537CB}" name="Produit" dataDxfId="16"/>
    <tableColumn id="3" xr3:uid="{D62D05D7-07D0-4919-88F4-EB47F77F9BB9}" name="bicolor" dataDxfId="15"/>
    <tableColumn id="4" xr3:uid="{3F1A66C0-8A4C-4B23-845F-EA86C89256ED}" name="Poids" dataDxfId="14"/>
    <tableColumn id="5" xr3:uid="{2557664B-2D47-4814-A763-E0E1CA9E4242}" name="temps" dataDxfId="13"/>
    <tableColumn id="6" xr3:uid="{C5622246-3EC6-4575-9B6D-426A7ACD3AB2}" name="cout de revient" dataDxfId="2" dataCellStyle="Monétaire">
      <calculatedColumnFormula>((D2*($T$1/1000))+(E2*24*(0.15*$T$2))+(E2*24*$T$3))</calculatedColumnFormula>
    </tableColumn>
    <tableColumn id="7" xr3:uid="{3910BEF2-95A1-4E9E-8961-6C9E62FD56D8}" name="PVU" dataDxfId="0" dataCellStyle="Monétaire"/>
    <tableColumn id="8" xr3:uid="{5667F4D7-744F-4926-889F-132E669CEAEA}" name="Cotisation" dataDxfId="1" dataCellStyle="Monétaire">
      <calculatedColumnFormula>Tableau1[[#This Row],[PVU]]*$T$4</calculatedColumnFormula>
    </tableColumn>
    <tableColumn id="9" xr3:uid="{CD65628A-964D-4889-937B-134D75F3696D}" name="bénéfice" dataDxfId="12" dataCellStyle="Monétaire">
      <calculatedColumnFormula>G2-H2-F2</calculatedColumnFormula>
    </tableColumn>
    <tableColumn id="10" xr3:uid="{909AFF64-52A4-40A9-B0CA-7DD349AA9DFB}" name="image" dataDxfId="11"/>
    <tableColumn id="11" xr3:uid="{DFF6FB60-F3E2-40F2-BE61-B9B72A71B8BB}" name="poid bicolor 1" dataDxfId="10"/>
    <tableColumn id="12" xr3:uid="{B22C8D62-1762-47B1-868F-E1CB6C31AD04}" name="poids bicolor 2" dataDxfId="9"/>
    <tableColumn id="13" xr3:uid="{DBAACC8F-D4F2-4FAF-8CBD-6D390EF0E03D}" name="surcout" dataDxfId="8"/>
    <tableColumn id="14" xr3:uid="{77ABA3A0-5131-46C3-85CF-053059CD7D4C}" name="dont asso" dataDxfId="5" dataCellStyle="Monétaire">
      <calculatedColumnFormula>Tableau1[[#This Row],[bénéfice]]*Tableau1[[#This Row],[% dons]]</calculatedColumnFormula>
    </tableColumn>
    <tableColumn id="16" xr3:uid="{28BE90EF-3EE9-43DD-B14E-51170F2B8F80}" name="% dons" dataDxfId="4" dataCellStyle="Pourcentage"/>
    <tableColumn id="15" xr3:uid="{5D676FDF-152E-43F4-8A6D-6A68FD4112A5}" name="bénéfice apres dons" dataDxfId="3" dataCellStyle="Monétaire">
      <calculatedColumnFormula>Tableau1[[#This Row],[bénéfice]]-Tableau1[[#This Row],[dont asso]]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BCD7-2734-47A1-AE14-3BFF58DC858F}">
  <dimension ref="A1:Y15"/>
  <sheetViews>
    <sheetView showGridLines="0" tabSelected="1" zoomScale="130" zoomScaleNormal="130" workbookViewId="0">
      <selection activeCell="M10" sqref="M10"/>
    </sheetView>
  </sheetViews>
  <sheetFormatPr baseColWidth="10" defaultRowHeight="15" x14ac:dyDescent="0.25"/>
  <cols>
    <col min="1" max="7" width="11.42578125" style="1"/>
    <col min="8" max="9" width="12.140625" style="1" customWidth="1"/>
    <col min="10" max="10" width="13.42578125" style="1" customWidth="1"/>
    <col min="11" max="13" width="12.5703125" style="1" customWidth="1"/>
    <col min="14" max="16384" width="11.42578125" style="1"/>
  </cols>
  <sheetData>
    <row r="1" spans="1:25" ht="30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31</v>
      </c>
      <c r="J1" s="8" t="s">
        <v>26</v>
      </c>
      <c r="K1" s="8" t="s">
        <v>29</v>
      </c>
      <c r="L1" s="8" t="s">
        <v>27</v>
      </c>
      <c r="M1" s="8" t="s">
        <v>28</v>
      </c>
      <c r="N1" s="8" t="s">
        <v>30</v>
      </c>
      <c r="O1" s="8" t="s">
        <v>33</v>
      </c>
      <c r="P1" s="8" t="s">
        <v>32</v>
      </c>
      <c r="Q1" s="3"/>
      <c r="R1" s="3"/>
      <c r="S1" s="3" t="s">
        <v>8</v>
      </c>
      <c r="T1" s="4">
        <v>25</v>
      </c>
      <c r="U1" s="3"/>
      <c r="V1" s="3"/>
      <c r="W1" s="3"/>
      <c r="X1" s="3"/>
      <c r="Y1" s="3"/>
    </row>
    <row r="2" spans="1:25" ht="45" x14ac:dyDescent="0.25">
      <c r="A2" s="2" t="s">
        <v>0</v>
      </c>
      <c r="B2" s="2" t="s">
        <v>1</v>
      </c>
      <c r="C2" s="2" t="s">
        <v>2</v>
      </c>
      <c r="D2" s="2">
        <v>15.75</v>
      </c>
      <c r="E2" s="2">
        <v>5.7638888888888892E-2</v>
      </c>
      <c r="F2" s="10">
        <f>((D2*($T$1/1000))+(E2*24*(0.15*$T$2))+(E2*24*$T$3))</f>
        <v>0.64620833333333338</v>
      </c>
      <c r="G2" s="12">
        <v>5</v>
      </c>
      <c r="H2" s="10">
        <f>Tableau1[[#This Row],[PVU]]*$T$4</f>
        <v>1.06</v>
      </c>
      <c r="I2" s="10">
        <f>G2-H2-F2</f>
        <v>3.2937916666666665</v>
      </c>
      <c r="J2" s="2" t="s">
        <v>3</v>
      </c>
      <c r="K2" s="2"/>
      <c r="L2" s="2"/>
      <c r="M2" s="2"/>
      <c r="N2" s="10">
        <f>Tableau1[[#This Row],[bénéfice]]*Tableau1[[#This Row],[% dons]]</f>
        <v>0.32937916666666667</v>
      </c>
      <c r="O2" s="9">
        <v>0.1</v>
      </c>
      <c r="P2" s="11">
        <f>Tableau1[[#This Row],[bénéfice]]-Tableau1[[#This Row],[dont asso]]</f>
        <v>2.9644124999999999</v>
      </c>
      <c r="Q2" s="3"/>
      <c r="R2" s="3"/>
      <c r="S2" s="3" t="s">
        <v>12</v>
      </c>
      <c r="T2" s="4">
        <v>0.15</v>
      </c>
      <c r="U2" s="3"/>
      <c r="V2" s="3"/>
      <c r="W2" s="3"/>
      <c r="X2" s="3"/>
      <c r="Y2" s="3"/>
    </row>
    <row r="3" spans="1:25" ht="45" x14ac:dyDescent="0.25">
      <c r="A3" s="2" t="s">
        <v>4</v>
      </c>
      <c r="B3" s="2" t="s">
        <v>5</v>
      </c>
      <c r="C3" s="2" t="s">
        <v>2</v>
      </c>
      <c r="D3" s="2">
        <v>144.35</v>
      </c>
      <c r="E3" s="2">
        <v>0.27152777777777776</v>
      </c>
      <c r="F3" s="10">
        <f>((D3*($T$1/1000))+(E3*24*(0.15*$T$2))+(E3*24*$T$3))</f>
        <v>4.7980416666666663</v>
      </c>
      <c r="G3" s="12">
        <v>15</v>
      </c>
      <c r="H3" s="10">
        <f>Tableau1[[#This Row],[PVU]]*$T$4</f>
        <v>3.1799999999999997</v>
      </c>
      <c r="I3" s="10">
        <f>G3-H3-F3</f>
        <v>7.021958333333334</v>
      </c>
      <c r="J3" s="2"/>
      <c r="K3" s="2"/>
      <c r="L3" s="2"/>
      <c r="M3" s="2"/>
      <c r="N3" s="10">
        <f>Tableau1[[#This Row],[bénéfice]]*Tableau1[[#This Row],[% dons]]</f>
        <v>0.70219583333333346</v>
      </c>
      <c r="O3" s="9">
        <v>0.1</v>
      </c>
      <c r="P3" s="11">
        <f>Tableau1[[#This Row],[bénéfice]]-Tableau1[[#This Row],[dont asso]]</f>
        <v>6.3197625000000004</v>
      </c>
      <c r="Q3" s="3"/>
      <c r="R3" s="3"/>
      <c r="S3" s="3" t="s">
        <v>15</v>
      </c>
      <c r="T3" s="4">
        <v>0.16</v>
      </c>
      <c r="W3" s="3"/>
      <c r="X3" s="3"/>
      <c r="Y3" s="3"/>
    </row>
    <row r="4" spans="1:25" ht="45" x14ac:dyDescent="0.25">
      <c r="A4" s="2" t="s">
        <v>6</v>
      </c>
      <c r="B4" s="2" t="s">
        <v>7</v>
      </c>
      <c r="C4" s="2" t="s">
        <v>2</v>
      </c>
      <c r="D4" s="2">
        <v>1.17</v>
      </c>
      <c r="E4" s="2">
        <v>0.16250000000000001</v>
      </c>
      <c r="F4" s="10">
        <f>((D4*($T$1/1000))+(E4*24*(0.15*$T$2))+(E4*24*$T$3))</f>
        <v>0.7410000000000001</v>
      </c>
      <c r="G4" s="12">
        <v>2</v>
      </c>
      <c r="H4" s="10">
        <f>Tableau1[[#This Row],[PVU]]*$T$4</f>
        <v>0.42399999999999999</v>
      </c>
      <c r="I4" s="10">
        <f t="shared" ref="I4:I7" si="0">G4-H4-F4</f>
        <v>0.83499999999999996</v>
      </c>
      <c r="J4" s="2"/>
      <c r="K4" s="2"/>
      <c r="L4" s="2"/>
      <c r="M4" s="2"/>
      <c r="N4" s="10">
        <f>Tableau1[[#This Row],[bénéfice]]*Tableau1[[#This Row],[% dons]]</f>
        <v>0.41749999999999998</v>
      </c>
      <c r="O4" s="9">
        <v>0.5</v>
      </c>
      <c r="P4" s="11">
        <f>Tableau1[[#This Row],[bénéfice]]-Tableau1[[#This Row],[dont asso]]</f>
        <v>0.41749999999999998</v>
      </c>
      <c r="Q4" s="3"/>
      <c r="R4" s="3"/>
      <c r="S4" s="3" t="s">
        <v>25</v>
      </c>
      <c r="T4" s="3">
        <v>0.21199999999999999</v>
      </c>
      <c r="W4" s="3"/>
      <c r="X4" s="3"/>
      <c r="Y4" s="3"/>
    </row>
    <row r="5" spans="1:25" ht="45" x14ac:dyDescent="0.25">
      <c r="A5" s="2" t="s">
        <v>9</v>
      </c>
      <c r="B5" s="2" t="s">
        <v>10</v>
      </c>
      <c r="C5" s="2" t="s">
        <v>11</v>
      </c>
      <c r="D5" s="2">
        <v>18.440000000000001</v>
      </c>
      <c r="E5" s="2">
        <v>3.0555555555555555E-2</v>
      </c>
      <c r="F5" s="10">
        <f>((D5*($T$1/1000))+(E5*24*(0.15*$T$2))+(E5*24*$T$3))</f>
        <v>0.59483333333333344</v>
      </c>
      <c r="G5" s="12">
        <v>5</v>
      </c>
      <c r="H5" s="10">
        <f>Tableau1[[#This Row],[PVU]]*$T$4</f>
        <v>1.06</v>
      </c>
      <c r="I5" s="10">
        <f t="shared" si="0"/>
        <v>3.3451666666666666</v>
      </c>
      <c r="J5" s="2"/>
      <c r="K5" s="2">
        <v>12.74</v>
      </c>
      <c r="L5" s="2">
        <v>5.71</v>
      </c>
      <c r="M5" s="2">
        <v>1</v>
      </c>
      <c r="N5" s="10">
        <f>Tableau1[[#This Row],[bénéfice]]*Tableau1[[#This Row],[% dons]]</f>
        <v>0.33451666666666668</v>
      </c>
      <c r="O5" s="9">
        <v>0.1</v>
      </c>
      <c r="P5" s="11">
        <f>Tableau1[[#This Row],[bénéfice]]-Tableau1[[#This Row],[dont asso]]</f>
        <v>3.01065</v>
      </c>
      <c r="Q5" s="3"/>
      <c r="R5" s="3"/>
      <c r="S5" s="3"/>
      <c r="T5" s="3"/>
      <c r="W5" s="3"/>
      <c r="X5" s="3"/>
      <c r="Y5" s="3"/>
    </row>
    <row r="6" spans="1:25" ht="30" x14ac:dyDescent="0.25">
      <c r="A6" s="2" t="s">
        <v>13</v>
      </c>
      <c r="B6" s="2" t="s">
        <v>14</v>
      </c>
      <c r="C6" s="2" t="s">
        <v>2</v>
      </c>
      <c r="D6" s="2">
        <v>18.399999999999999</v>
      </c>
      <c r="E6" s="2">
        <v>6.5277777777777782E-2</v>
      </c>
      <c r="F6" s="10">
        <f>((D6*($T$1/1000))+(E6*24*(0.15*$T$2))+(E6*24*$T$3))</f>
        <v>0.74591666666666667</v>
      </c>
      <c r="G6" s="12">
        <v>4</v>
      </c>
      <c r="H6" s="10">
        <f>Tableau1[[#This Row],[PVU]]*$T$4</f>
        <v>0.84799999999999998</v>
      </c>
      <c r="I6" s="10">
        <f t="shared" si="0"/>
        <v>2.4060833333333336</v>
      </c>
      <c r="J6" s="2"/>
      <c r="K6" s="2"/>
      <c r="L6" s="2"/>
      <c r="M6" s="2"/>
      <c r="N6" s="10">
        <f>Tableau1[[#This Row],[bénéfice]]*Tableau1[[#This Row],[% dons]]</f>
        <v>0.24060833333333337</v>
      </c>
      <c r="O6" s="9">
        <v>0.1</v>
      </c>
      <c r="P6" s="11">
        <f>Tableau1[[#This Row],[bénéfice]]-Tableau1[[#This Row],[dont asso]]</f>
        <v>2.1654750000000003</v>
      </c>
      <c r="Q6" s="3"/>
      <c r="R6" s="3"/>
      <c r="S6" s="3"/>
      <c r="T6" s="3"/>
      <c r="U6" s="3"/>
      <c r="V6" s="3"/>
      <c r="W6" s="3"/>
      <c r="X6" s="3"/>
      <c r="Y6" s="3"/>
    </row>
    <row r="7" spans="1:25" ht="30" x14ac:dyDescent="0.25">
      <c r="A7" s="2" t="s">
        <v>16</v>
      </c>
      <c r="B7" s="2" t="s">
        <v>17</v>
      </c>
      <c r="C7" s="2" t="s">
        <v>2</v>
      </c>
      <c r="D7" s="2">
        <v>18.86</v>
      </c>
      <c r="E7" s="7">
        <v>7.9861111111111105E-2</v>
      </c>
      <c r="F7" s="10">
        <f>((D7*($T$1/1000))+(E7*24*(0.15*$T$2))+(E7*24*$T$3))</f>
        <v>0.82129166666666664</v>
      </c>
      <c r="G7" s="12">
        <v>4</v>
      </c>
      <c r="H7" s="10">
        <f>Tableau1[[#This Row],[PVU]]*$T$4</f>
        <v>0.84799999999999998</v>
      </c>
      <c r="I7" s="10">
        <f t="shared" si="0"/>
        <v>2.3307083333333334</v>
      </c>
      <c r="J7" s="2"/>
      <c r="K7" s="2"/>
      <c r="L7" s="2"/>
      <c r="M7" s="2"/>
      <c r="N7" s="10">
        <f>Tableau1[[#This Row],[bénéfice]]*Tableau1[[#This Row],[% dons]]</f>
        <v>0.23307083333333334</v>
      </c>
      <c r="O7" s="9">
        <v>0.1</v>
      </c>
      <c r="P7" s="11">
        <f>Tableau1[[#This Row],[bénéfice]]-Tableau1[[#This Row],[dont asso]]</f>
        <v>2.0976375000000003</v>
      </c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5"/>
      <c r="U8" s="6"/>
      <c r="V8" s="3"/>
      <c r="W8" s="3"/>
      <c r="X8" s="3"/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6"/>
      <c r="V9" s="3"/>
      <c r="W9" s="3"/>
      <c r="X9" s="3"/>
    </row>
    <row r="10" spans="1:2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DUBLE Inaia</dc:creator>
  <cp:lastModifiedBy>DUBLE Inaia</cp:lastModifiedBy>
  <dcterms:created xsi:type="dcterms:W3CDTF">2026-07-17T20:04:19Z</dcterms:created>
  <dcterms:modified xsi:type="dcterms:W3CDTF">2026-07-18T11:19:43Z</dcterms:modified>
</cp:coreProperties>
</file>