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Theina3D\Theina3D\Produit\"/>
    </mc:Choice>
  </mc:AlternateContent>
  <xr:revisionPtr revIDLastSave="0" documentId="13_ncr:1_{B301C718-044A-4D62-AB4E-04B70036E04E}" xr6:coauthVersionLast="47" xr6:coauthVersionMax="47" xr10:uidLastSave="{00000000-0000-0000-0000-000000000000}"/>
  <bookViews>
    <workbookView xWindow="-120" yWindow="-120" windowWidth="29040" windowHeight="15720" xr2:uid="{C8E30C7B-B677-4B82-9030-6930B4140F13}"/>
  </bookViews>
  <sheets>
    <sheet name="Produit" sheetId="1" r:id="rId1"/>
    <sheet name="Calculs &amp; Barème" sheetId="2" r:id="rId2"/>
    <sheet name="Devis Cli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3" l="1"/>
  <c r="F9" i="3" s="1"/>
  <c r="F10" i="3"/>
  <c r="E11" i="3"/>
  <c r="F11" i="3" s="1"/>
  <c r="E12" i="3"/>
  <c r="F12" i="3" s="1"/>
  <c r="D13" i="2"/>
  <c r="G13" i="2" s="1"/>
  <c r="F13" i="2"/>
  <c r="D14" i="2"/>
  <c r="F14" i="2"/>
  <c r="G14" i="2" s="1"/>
  <c r="D15" i="2"/>
  <c r="F15" i="2"/>
  <c r="G15" i="2"/>
  <c r="D16" i="2"/>
  <c r="F16" i="2"/>
  <c r="G16" i="2"/>
  <c r="D22" i="2"/>
  <c r="D23" i="2"/>
  <c r="D24" i="2"/>
  <c r="F25" i="2"/>
  <c r="D30" i="2"/>
  <c r="D31" i="2"/>
  <c r="I2" i="1"/>
  <c r="I3" i="1"/>
  <c r="I4" i="1"/>
  <c r="I5" i="1"/>
  <c r="I6" i="1"/>
  <c r="I7" i="1"/>
  <c r="G3" i="1"/>
  <c r="G4" i="1"/>
  <c r="G5" i="1"/>
  <c r="G6" i="1"/>
  <c r="G7" i="1"/>
  <c r="G2" i="1"/>
  <c r="D25" i="2" l="1"/>
  <c r="G25" i="2" s="1"/>
  <c r="F14" i="3"/>
  <c r="F16" i="3" s="1"/>
  <c r="J5" i="1"/>
  <c r="O5" i="1" s="1"/>
  <c r="J3" i="1"/>
  <c r="O3" i="1" s="1"/>
  <c r="J4" i="1"/>
  <c r="O4" i="1" s="1"/>
  <c r="J7" i="1"/>
  <c r="O7" i="1" s="1"/>
  <c r="J6" i="1"/>
  <c r="O6" i="1" s="1"/>
  <c r="J2" i="1"/>
  <c r="O2" i="1" s="1"/>
  <c r="Q7" i="1" l="1"/>
  <c r="Q4" i="1"/>
  <c r="Q6" i="1"/>
  <c r="Q3" i="1"/>
  <c r="Q2" i="1"/>
  <c r="Q5" i="1"/>
</calcChain>
</file>

<file path=xl/sharedStrings.xml><?xml version="1.0" encoding="utf-8"?>
<sst xmlns="http://schemas.openxmlformats.org/spreadsheetml/2006/main" count="119" uniqueCount="108">
  <si>
    <t>Skadis_Casque_Support - Part 1</t>
  </si>
  <si>
    <t>Support Casque Skadis</t>
  </si>
  <si>
    <t>FALSE</t>
  </si>
  <si>
    <t>Casque_violet.png</t>
  </si>
  <si>
    <t>PROD-002</t>
  </si>
  <si>
    <t>Support Bouteille CO2</t>
  </si>
  <si>
    <t>PROD-004</t>
  </si>
  <si>
    <t>marque pages chat Plat</t>
  </si>
  <si>
    <t>€/kg</t>
  </si>
  <si>
    <t>PROD-005</t>
  </si>
  <si>
    <t>Enrouleur mètre ruban</t>
  </si>
  <si>
    <t>TRUE</t>
  </si>
  <si>
    <t>€kwH</t>
  </si>
  <si>
    <t>PROD-006</t>
  </si>
  <si>
    <t>Bouegoir Bas</t>
  </si>
  <si>
    <t>usure</t>
  </si>
  <si>
    <t>PROD-007</t>
  </si>
  <si>
    <t>Bouegoir Haut</t>
  </si>
  <si>
    <t>SKU</t>
  </si>
  <si>
    <t>Produit</t>
  </si>
  <si>
    <t>bicolor</t>
  </si>
  <si>
    <t>Poids</t>
  </si>
  <si>
    <t>temps</t>
  </si>
  <si>
    <t>cout de revient</t>
  </si>
  <si>
    <t>PVU</t>
  </si>
  <si>
    <t>Cotisation</t>
  </si>
  <si>
    <t>image</t>
  </si>
  <si>
    <t>poids bicolor 2</t>
  </si>
  <si>
    <t>surcout</t>
  </si>
  <si>
    <t>poid bicolor 1</t>
  </si>
  <si>
    <t>dont asso</t>
  </si>
  <si>
    <t>bénéfice</t>
  </si>
  <si>
    <t>bénéfice apres dons</t>
  </si>
  <si>
    <t>% dons</t>
  </si>
  <si>
    <t>1kg &lt; Colis &lt; 3kg</t>
  </si>
  <si>
    <t>Colis &lt; 1kg</t>
  </si>
  <si>
    <t>Marge Livraison (€)</t>
  </si>
  <si>
    <t>Facturé au Client (€)</t>
  </si>
  <si>
    <t>Payé au Fournisseur (€)</t>
  </si>
  <si>
    <t>Type Colis / Tranche</t>
  </si>
  <si>
    <t>4. Grille Expédition &amp; Livraison Proto</t>
  </si>
  <si>
    <t>TOTAL Impression Prototype</t>
  </si>
  <si>
    <t>Coût Usure &amp; Maintenance Machine</t>
  </si>
  <si>
    <t>Coût Électricité</t>
  </si>
  <si>
    <t>Coût Matière (Filament)</t>
  </si>
  <si>
    <t>hh:mm:ss</t>
  </si>
  <si>
    <t>06:31:00</t>
  </si>
  <si>
    <t>Temps d'impression</t>
  </si>
  <si>
    <t>grammes (g)</t>
  </si>
  <si>
    <t>Poids de filament utilisé</t>
  </si>
  <si>
    <t>Marge Nette</t>
  </si>
  <si>
    <t>Cotisations URSSAF</t>
  </si>
  <si>
    <t>Prix de Vente Estimé</t>
  </si>
  <si>
    <t>Calcul Coût de Revient</t>
  </si>
  <si>
    <t>Unité / Formule</t>
  </si>
  <si>
    <t>Valeur</t>
  </si>
  <si>
    <t>Paramètre Impression</t>
  </si>
  <si>
    <t>3. Calculateur Impression Prototype 3D</t>
  </si>
  <si>
    <t>Livraison des fichiers (STEP, STL, DWG)</t>
  </si>
  <si>
    <t>Conception technique</t>
  </si>
  <si>
    <t>Reproduction technique</t>
  </si>
  <si>
    <t>Conception simple</t>
  </si>
  <si>
    <t>Prix de Vente (PV)</t>
  </si>
  <si>
    <t>Coût de Revient</t>
  </si>
  <si>
    <t>Temps (h)</t>
  </si>
  <si>
    <t>Taux Horaire (€/h)</t>
  </si>
  <si>
    <t>Prestation</t>
  </si>
  <si>
    <t>2. Grille Tarifaire Conception CAO / 3D</t>
  </si>
  <si>
    <t>Prix moyen bobine 1kg</t>
  </si>
  <si>
    <t>Prix filament PLA / kg</t>
  </si>
  <si>
    <t>Puissance moyenne en Watts (W)</t>
  </si>
  <si>
    <t>Consommation moyenne imprimante</t>
  </si>
  <si>
    <t>Tarif moyen TTC du kWh</t>
  </si>
  <si>
    <t>Prix du kWh d'électricité</t>
  </si>
  <si>
    <t>Maintenance + amortissement machine</t>
  </si>
  <si>
    <t>Coût usure machine / heure</t>
  </si>
  <si>
    <t>Taux URSSAF / Micro-entreprise</t>
  </si>
  <si>
    <t>Taux de cotisation sociale</t>
  </si>
  <si>
    <t>Unité / Note</t>
  </si>
  <si>
    <t>Désignation</t>
  </si>
  <si>
    <t>1. Taux de Cotisation, Électricité &amp; Usure Machine</t>
  </si>
  <si>
    <t>PARAMÈTRES DE CALCUL, COÛTS DE REVIENT &amp; MARGES</t>
  </si>
  <si>
    <t>NOTE IMPORTANTE CONCERNANT LE PROTOTYPE 3D :
Le chiffrage du prototype imprimé (option PRT-3D) est une estimation prévisionnelle basée sur l'analyse initiale de votre besoin.
Le fichier 3D définitif n'étant pas encore généré au moment de ce devis, le montant du prototype est délibérément estimé avec une marge de sécurité. Lors de la livraison finale du fichier et du lancement de l'impression, le tarif pourra être RÉAJUSTÉ À LA BAISSE si le coût de revient réel (temps d'impression effectif, consommation électrique et poids de matière) s'avère inférieur aux prévisions.</t>
  </si>
  <si>
    <t>Net à payer (€) :</t>
  </si>
  <si>
    <t>TVA (Franchise) :</t>
  </si>
  <si>
    <t>Total HT :</t>
  </si>
  <si>
    <t>Oui</t>
  </si>
  <si>
    <t>Frais de port &amp; emballage sécurisé (Colis &lt; 1kg)</t>
  </si>
  <si>
    <t>SHP-01</t>
  </si>
  <si>
    <t>Impression 3D - Prototype physique (Cotation estimée)</t>
  </si>
  <si>
    <t>PRT-3D</t>
  </si>
  <si>
    <t>Livraison des fichiers sources &amp; fabrication (STEP, STL, DWG)</t>
  </si>
  <si>
    <t>CAD-DEL</t>
  </si>
  <si>
    <t>Prestation de conception / modélisation 3D</t>
  </si>
  <si>
    <t>CAD-01</t>
  </si>
  <si>
    <t>Total HT</t>
  </si>
  <si>
    <t>Prix Unitaire HT</t>
  </si>
  <si>
    <t>Qté</t>
  </si>
  <si>
    <t>Inclus / Option</t>
  </si>
  <si>
    <t>Description de la prestation</t>
  </si>
  <si>
    <t>Réf / Item</t>
  </si>
  <si>
    <t>SÉLECTION ET DÉTAIL DES PRESTATIONS</t>
  </si>
  <si>
    <t>Nom Client / Société : Client exemple
Adresse : 45 Avenue des Projets
Email : client@email.com
Date du devis : 21/07/2026
N° Devis : DEV-2026-001</t>
  </si>
  <si>
    <t>Mon Entreprise 3D / Design
Adresse : 123 Rue de l'Innovation
Email : contact@monentreprise3d.fr
N° SIRET : 123 456 789 00012</t>
  </si>
  <si>
    <t>INFORMATIONS CLIENT</t>
  </si>
  <si>
    <t>INFORMATIONS PRESTATAIRE</t>
  </si>
  <si>
    <t>DEVIS DE PRESTATION &amp; PROTOTYPAGE 3D</t>
  </si>
  <si>
    <t>Description du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</si>
</sst>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 \€"/>
    <numFmt numFmtId="165" formatCode="0.0%"/>
  </numFmts>
  <fonts count="11" x14ac:knownFonts="1">
    <font>
      <sz val="11"/>
      <color theme="1"/>
      <name val="Aptos Narrow"/>
      <family val="2"/>
      <scheme val="minor"/>
    </font>
    <font>
      <sz val="11"/>
      <color theme="1"/>
      <name val="Aptos Narrow"/>
      <family val="2"/>
      <scheme val="minor"/>
    </font>
    <font>
      <sz val="10"/>
      <color rgb="FF333333"/>
      <name val="Quattrocento Sans"/>
    </font>
    <font>
      <sz val="11"/>
      <color theme="1"/>
      <name val="Calibri"/>
      <family val="2"/>
    </font>
    <font>
      <sz val="11"/>
      <name val="Calibri"/>
      <family val="2"/>
    </font>
    <font>
      <sz val="11"/>
      <color rgb="FF0F172A"/>
      <name val="Calibri"/>
    </font>
    <font>
      <b/>
      <sz val="11"/>
      <color rgb="FFFFFFFF"/>
      <name val="Calibri"/>
    </font>
    <font>
      <b/>
      <sz val="12"/>
      <color rgb="FF1B365D"/>
      <name val="Calibri"/>
    </font>
    <font>
      <b/>
      <sz val="11"/>
      <color rgb="FF0F172A"/>
      <name val="Calibri"/>
    </font>
    <font>
      <i/>
      <sz val="9"/>
      <color rgb="FF475569"/>
      <name val="Calibri"/>
    </font>
    <font>
      <b/>
      <sz val="16"/>
      <color rgb="FFFFFFFF"/>
      <name val="Calibri"/>
    </font>
  </fonts>
  <fills count="8">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EF3C7"/>
        <bgColor rgb="FFFEF3C7"/>
      </patternFill>
    </fill>
    <fill>
      <patternFill patternType="solid">
        <fgColor rgb="FF1B365D"/>
        <bgColor rgb="FF1B365D"/>
      </patternFill>
    </fill>
    <fill>
      <patternFill patternType="solid">
        <fgColor rgb="FFF1F5F9"/>
        <bgColor rgb="FFF1F5F9"/>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1B365D"/>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8">
    <xf numFmtId="0" fontId="0" fillId="0" borderId="0" xfId="0"/>
    <xf numFmtId="0" fontId="3" fillId="2" borderId="0" xfId="0" applyFont="1" applyFill="1" applyAlignment="1">
      <alignment vertical="center" wrapText="1"/>
    </xf>
    <xf numFmtId="0" fontId="3" fillId="0" borderId="0" xfId="0" applyFont="1" applyAlignment="1">
      <alignment wrapText="1"/>
    </xf>
    <xf numFmtId="0" fontId="3" fillId="0" borderId="0" xfId="0" applyFont="1" applyAlignment="1">
      <alignment horizontal="right" wrapText="1"/>
    </xf>
    <xf numFmtId="0" fontId="2" fillId="0" borderId="0" xfId="0" applyFont="1" applyAlignment="1">
      <alignment horizontal="center" vertical="center"/>
    </xf>
    <xf numFmtId="0" fontId="2" fillId="0" borderId="0" xfId="0" applyFont="1" applyAlignment="1">
      <alignment vertical="center"/>
    </xf>
    <xf numFmtId="20" fontId="3" fillId="2" borderId="0" xfId="0" applyNumberFormat="1" applyFont="1" applyFill="1" applyAlignment="1">
      <alignment vertical="center" wrapText="1"/>
    </xf>
    <xf numFmtId="0" fontId="4" fillId="2" borderId="0" xfId="0" applyFont="1" applyFill="1" applyAlignment="1">
      <alignment vertical="center" wrapText="1"/>
    </xf>
    <xf numFmtId="9" fontId="3" fillId="2" borderId="0" xfId="2" applyFont="1" applyFill="1" applyBorder="1" applyAlignment="1">
      <alignment vertical="center" wrapText="1"/>
    </xf>
    <xf numFmtId="44" fontId="3" fillId="2" borderId="0" xfId="1" applyFont="1" applyFill="1" applyBorder="1" applyAlignment="1">
      <alignment vertical="center" wrapText="1"/>
    </xf>
    <xf numFmtId="44" fontId="3" fillId="3" borderId="0" xfId="1" applyFont="1" applyFill="1" applyBorder="1" applyAlignment="1">
      <alignment vertical="center" wrapText="1"/>
    </xf>
    <xf numFmtId="44" fontId="3" fillId="4" borderId="0" xfId="1" applyFont="1" applyFill="1" applyBorder="1" applyAlignment="1">
      <alignment vertical="center" wrapText="1"/>
    </xf>
    <xf numFmtId="164" fontId="0" fillId="0" borderId="1" xfId="0" applyNumberFormat="1" applyBorder="1"/>
    <xf numFmtId="164" fontId="0" fillId="5" borderId="1" xfId="0" applyNumberFormat="1" applyFill="1" applyBorder="1"/>
    <xf numFmtId="0" fontId="5" fillId="0" borderId="1" xfId="0" applyFont="1" applyBorder="1"/>
    <xf numFmtId="0" fontId="6" fillId="6" borderId="2" xfId="0" applyFont="1" applyFill="1" applyBorder="1" applyAlignment="1">
      <alignment horizontal="center" vertical="center"/>
    </xf>
    <xf numFmtId="0" fontId="7" fillId="0" borderId="0" xfId="0" applyFont="1"/>
    <xf numFmtId="164" fontId="8" fillId="5" borderId="1" xfId="0" applyNumberFormat="1" applyFont="1" applyFill="1" applyBorder="1"/>
    <xf numFmtId="0" fontId="0" fillId="0" borderId="1" xfId="0" applyBorder="1"/>
    <xf numFmtId="0" fontId="8" fillId="0" borderId="1" xfId="0" applyFont="1" applyBorder="1"/>
    <xf numFmtId="0" fontId="9" fillId="0" borderId="1" xfId="0" applyFont="1" applyBorder="1"/>
    <xf numFmtId="0" fontId="8" fillId="5" borderId="1" xfId="0" applyFont="1" applyFill="1" applyBorder="1"/>
    <xf numFmtId="3" fontId="8" fillId="5" borderId="1" xfId="0" applyNumberFormat="1" applyFont="1" applyFill="1" applyBorder="1"/>
    <xf numFmtId="164" fontId="0" fillId="0" borderId="1" xfId="0" applyNumberFormat="1" applyBorder="1" applyAlignment="1">
      <alignment horizontal="right" vertical="center"/>
    </xf>
    <xf numFmtId="2" fontId="0" fillId="0" borderId="1" xfId="0" applyNumberFormat="1" applyBorder="1" applyAlignment="1">
      <alignment horizontal="right" vertical="center"/>
    </xf>
    <xf numFmtId="0" fontId="5" fillId="0" borderId="1" xfId="0" applyFont="1" applyBorder="1" applyAlignment="1">
      <alignment horizontal="left" vertical="center"/>
    </xf>
    <xf numFmtId="164" fontId="0" fillId="5" borderId="1" xfId="0" applyNumberFormat="1" applyFill="1" applyBorder="1" applyAlignment="1">
      <alignment horizontal="right" vertical="center"/>
    </xf>
    <xf numFmtId="2" fontId="0" fillId="5" borderId="1" xfId="0" applyNumberFormat="1" applyFill="1" applyBorder="1" applyAlignment="1">
      <alignment horizontal="right" vertical="center"/>
    </xf>
    <xf numFmtId="164" fontId="8" fillId="5" borderId="1" xfId="0" applyNumberFormat="1" applyFont="1" applyFill="1" applyBorder="1" applyAlignment="1">
      <alignment horizontal="right" vertical="center"/>
    </xf>
    <xf numFmtId="3" fontId="8" fillId="5" borderId="1" xfId="0" applyNumberFormat="1" applyFont="1" applyFill="1" applyBorder="1" applyAlignment="1">
      <alignment horizontal="right" vertical="center"/>
    </xf>
    <xf numFmtId="165" fontId="8" fillId="5" borderId="1" xfId="0" applyNumberFormat="1" applyFont="1" applyFill="1" applyBorder="1" applyAlignment="1">
      <alignment horizontal="right" vertical="center"/>
    </xf>
    <xf numFmtId="164" fontId="10" fillId="6" borderId="0" xfId="0" applyNumberFormat="1" applyFont="1" applyFill="1" applyAlignment="1">
      <alignment horizontal="right" vertical="center"/>
    </xf>
    <xf numFmtId="0" fontId="10" fillId="6" borderId="0" xfId="0" applyFont="1" applyFill="1" applyAlignment="1">
      <alignment horizontal="right" vertical="center"/>
    </xf>
    <xf numFmtId="164" fontId="5" fillId="0" borderId="1" xfId="0" applyNumberFormat="1" applyFont="1" applyBorder="1"/>
    <xf numFmtId="0" fontId="5" fillId="0" borderId="0" xfId="0" applyFont="1" applyAlignment="1">
      <alignment horizontal="right" vertical="center"/>
    </xf>
    <xf numFmtId="164" fontId="8" fillId="0" borderId="1" xfId="0" applyNumberFormat="1" applyFont="1" applyBorder="1"/>
    <xf numFmtId="0" fontId="8" fillId="0" borderId="0" xfId="0" applyFont="1" applyAlignment="1">
      <alignment horizontal="right" vertical="center"/>
    </xf>
    <xf numFmtId="3" fontId="0" fillId="0" borderId="1" xfId="0" applyNumberFormat="1" applyBorder="1" applyAlignment="1">
      <alignment horizontal="center" vertical="center"/>
    </xf>
    <xf numFmtId="0" fontId="5" fillId="5" borderId="1" xfId="0" applyFont="1" applyFill="1" applyBorder="1" applyAlignment="1">
      <alignment horizontal="center" vertical="center"/>
    </xf>
    <xf numFmtId="0" fontId="5" fillId="0" borderId="1" xfId="0" applyFont="1" applyBorder="1" applyAlignment="1">
      <alignment horizontal="center" vertical="center"/>
    </xf>
    <xf numFmtId="0" fontId="8" fillId="5" borderId="1" xfId="0" applyFont="1" applyFill="1" applyBorder="1" applyAlignment="1">
      <alignment horizontal="center" vertical="center"/>
    </xf>
    <xf numFmtId="0" fontId="5" fillId="0" borderId="0" xfId="0" applyFont="1" applyAlignment="1">
      <alignment vertical="top" wrapText="1"/>
    </xf>
    <xf numFmtId="0" fontId="10" fillId="6" borderId="0" xfId="0" applyFont="1" applyFill="1" applyAlignment="1">
      <alignment horizontal="center" vertical="center"/>
    </xf>
    <xf numFmtId="0" fontId="0" fillId="0" borderId="0" xfId="0"/>
    <xf numFmtId="0" fontId="7" fillId="0" borderId="0" xfId="0" applyFont="1"/>
    <xf numFmtId="0" fontId="9" fillId="7" borderId="1" xfId="0" applyFont="1" applyFill="1" applyBorder="1" applyAlignment="1">
      <alignment vertical="top" wrapText="1"/>
    </xf>
    <xf numFmtId="0" fontId="0" fillId="0" borderId="1" xfId="0" applyBorder="1"/>
    <xf numFmtId="0" fontId="3" fillId="2" borderId="0" xfId="0" applyFont="1" applyFill="1" applyAlignment="1">
      <alignment vertical="center" wrapText="1"/>
      <extLst>
        <ext xmlns:xfpb="http://schemas.microsoft.com/office/spreadsheetml/2022/featurepropertybag" uri="{C7286773-470A-42A8-94C5-96B5CB345126}">
          <xfpb:xfComplement i="0"/>
        </ext>
      </extLst>
    </xf>
  </cellXfs>
  <cellStyles count="3">
    <cellStyle name="Monétaire" xfId="1" builtinId="4"/>
    <cellStyle name="Normal" xfId="0" builtinId="0"/>
    <cellStyle name="Pourcentage" xfId="2" builtinId="5"/>
  </cellStyles>
  <dxfs count="19">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33333"/>
        <name val="Calibri"/>
        <family val="2"/>
        <scheme val="none"/>
      </font>
      <fill>
        <patternFill patternType="solid">
          <fgColor rgb="FFFFFFFF"/>
          <bgColor indexed="64"/>
        </patternFill>
      </fill>
      <alignment horizontal="general" vertical="center" textRotation="0" wrapText="1"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1"/>
        <color theme="1"/>
        <name val="Calibri"/>
        <family val="2"/>
        <scheme val="none"/>
      </font>
      <fill>
        <patternFill patternType="solid">
          <fgColor indexed="64"/>
          <bgColor theme="9"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rgb="FF434343"/>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rgb="FF434343"/>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33333"/>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33333"/>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rgb="FF333333"/>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FFFFFF"/>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71FAF-F61C-4F8A-ADB5-40418E571C3E}" name="Tableau1" displayName="Tableau1" ref="A1:Q7" totalsRowShown="0" headerRowDxfId="18" dataDxfId="17">
  <autoFilter ref="A1:Q7" xr:uid="{96A71FAF-F61C-4F8A-ADB5-40418E571C3E}"/>
  <tableColumns count="17">
    <tableColumn id="1" xr3:uid="{23D466F6-9B2B-4653-93E6-139FE75B4231}" name="SKU" dataDxfId="16"/>
    <tableColumn id="2" xr3:uid="{595C2037-E6C0-4AAD-95EC-4AA427A537CB}" name="Produit" dataDxfId="15"/>
    <tableColumn id="17" xr3:uid="{474AA3C6-48CE-4399-9BAA-0FE0D176272A}" name="Description du produit" dataDxfId="0"/>
    <tableColumn id="3" xr3:uid="{D62D05D7-07D0-4919-88F4-EB47F77F9BB9}" name="bicolor" dataDxfId="1"/>
    <tableColumn id="4" xr3:uid="{3F1A66C0-8A4C-4B23-845F-EA86C89256ED}" name="Poids" dataDxfId="14"/>
    <tableColumn id="5" xr3:uid="{2557664B-2D47-4814-A763-E0E1CA9E4242}" name="temps" dataDxfId="13"/>
    <tableColumn id="6" xr3:uid="{C5622246-3EC6-4575-9B6D-426A7ACD3AB2}" name="cout de revient" dataDxfId="12" dataCellStyle="Monétaire">
      <calculatedColumnFormula>((E2*($U$1/1000))+(F2*24*(0.15*$U$2))+(F2*24*$U$3))</calculatedColumnFormula>
    </tableColumn>
    <tableColumn id="7" xr3:uid="{3910BEF2-95A1-4E9E-8961-6C9E62FD56D8}" name="PVU" dataDxfId="11" dataCellStyle="Monétaire"/>
    <tableColumn id="8" xr3:uid="{5667F4D7-744F-4926-889F-132E669CEAEA}" name="Cotisation" dataDxfId="10" dataCellStyle="Monétaire">
      <calculatedColumnFormula>Tableau1[[#This Row],[PVU]]*$U$4</calculatedColumnFormula>
    </tableColumn>
    <tableColumn id="9" xr3:uid="{CD65628A-964D-4889-937B-134D75F3696D}" name="bénéfice" dataDxfId="9" dataCellStyle="Monétaire">
      <calculatedColumnFormula>H2-I2-G2</calculatedColumnFormula>
    </tableColumn>
    <tableColumn id="10" xr3:uid="{909AFF64-52A4-40A9-B0CA-7DD349AA9DFB}" name="image" dataDxfId="8"/>
    <tableColumn id="11" xr3:uid="{DFF6FB60-F3E2-40F2-BE61-B9B72A71B8BB}" name="poid bicolor 1" dataDxfId="7"/>
    <tableColumn id="12" xr3:uid="{B22C8D62-1762-47B1-868F-E1CB6C31AD04}" name="poids bicolor 2" dataDxfId="6"/>
    <tableColumn id="13" xr3:uid="{DBAACC8F-D4F2-4FAF-8CBD-6D390EF0E03D}" name="surcout" dataDxfId="5"/>
    <tableColumn id="14" xr3:uid="{77ABA3A0-5131-46C3-85CF-053059CD7D4C}" name="dont asso" dataDxfId="4" dataCellStyle="Monétaire">
      <calculatedColumnFormula>Tableau1[[#This Row],[bénéfice]]*Tableau1[[#This Row],[% dons]]</calculatedColumnFormula>
    </tableColumn>
    <tableColumn id="16" xr3:uid="{28BE90EF-3EE9-43DD-B14E-51170F2B8F80}" name="% dons" dataDxfId="3" dataCellStyle="Pourcentage"/>
    <tableColumn id="15" xr3:uid="{5D676FDF-152E-43F4-8A6D-6A68FD4112A5}" name="bénéfice apres dons" dataDxfId="2" dataCellStyle="Monétaire">
      <calculatedColumnFormula>Tableau1[[#This Row],[bénéfice]]-Tableau1[[#This Row],[dont asso]]</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BCD7-2734-47A1-AE14-3BFF58DC858F}">
  <dimension ref="A1:Z15"/>
  <sheetViews>
    <sheetView showGridLines="0" tabSelected="1" zoomScaleNormal="100" workbookViewId="0">
      <selection activeCell="H20" sqref="H20:H21"/>
    </sheetView>
  </sheetViews>
  <sheetFormatPr baseColWidth="10" defaultRowHeight="15" x14ac:dyDescent="0.25"/>
  <cols>
    <col min="1" max="1" width="23" customWidth="1"/>
    <col min="2" max="2" width="17.42578125" customWidth="1"/>
    <col min="3" max="3" width="24.42578125" customWidth="1"/>
    <col min="8" max="9" width="12.140625" customWidth="1"/>
    <col min="10" max="10" width="13.42578125" customWidth="1"/>
    <col min="11" max="13" width="12.5703125" customWidth="1"/>
  </cols>
  <sheetData>
    <row r="1" spans="1:26" ht="30" x14ac:dyDescent="0.25">
      <c r="A1" s="7" t="s">
        <v>18</v>
      </c>
      <c r="B1" s="7" t="s">
        <v>19</v>
      </c>
      <c r="C1" s="7" t="s">
        <v>107</v>
      </c>
      <c r="D1" s="7" t="s">
        <v>20</v>
      </c>
      <c r="E1" s="7" t="s">
        <v>21</v>
      </c>
      <c r="F1" s="7" t="s">
        <v>22</v>
      </c>
      <c r="G1" s="7" t="s">
        <v>23</v>
      </c>
      <c r="H1" s="7" t="s">
        <v>24</v>
      </c>
      <c r="I1" s="7" t="s">
        <v>25</v>
      </c>
      <c r="J1" s="7" t="s">
        <v>31</v>
      </c>
      <c r="K1" s="7" t="s">
        <v>26</v>
      </c>
      <c r="L1" s="7" t="s">
        <v>29</v>
      </c>
      <c r="M1" s="7" t="s">
        <v>27</v>
      </c>
      <c r="N1" s="7" t="s">
        <v>28</v>
      </c>
      <c r="O1" s="7" t="s">
        <v>30</v>
      </c>
      <c r="P1" s="7" t="s">
        <v>33</v>
      </c>
      <c r="Q1" s="7" t="s">
        <v>32</v>
      </c>
      <c r="R1" s="2"/>
      <c r="S1" s="2"/>
      <c r="T1" s="2" t="s">
        <v>8</v>
      </c>
      <c r="U1" s="3">
        <v>25</v>
      </c>
      <c r="V1" s="2"/>
      <c r="W1" s="2"/>
      <c r="X1" s="2"/>
      <c r="Y1" s="2"/>
      <c r="Z1" s="2"/>
    </row>
    <row r="2" spans="1:26" ht="30" x14ac:dyDescent="0.25">
      <c r="A2" s="1" t="s">
        <v>0</v>
      </c>
      <c r="B2" s="1" t="s">
        <v>1</v>
      </c>
      <c r="C2" s="1"/>
      <c r="D2" s="47" t="s">
        <v>2</v>
      </c>
      <c r="E2" s="1">
        <v>15.75</v>
      </c>
      <c r="F2" s="1">
        <v>5.7638888888888892E-2</v>
      </c>
      <c r="G2" s="9">
        <f t="shared" ref="G2:G7" si="0">((E2*($U$1/1000))+(F2*24*(0.15*$U$2))+(F2*24*$U$3))</f>
        <v>0.64620833333333338</v>
      </c>
      <c r="H2" s="11">
        <v>5</v>
      </c>
      <c r="I2" s="9">
        <f>Tableau1[[#This Row],[PVU]]*$U$4</f>
        <v>1.06</v>
      </c>
      <c r="J2" s="9">
        <f>H2-I2-G2</f>
        <v>3.2937916666666665</v>
      </c>
      <c r="K2" s="1" t="s">
        <v>3</v>
      </c>
      <c r="L2" s="1"/>
      <c r="M2" s="1"/>
      <c r="N2" s="1"/>
      <c r="O2" s="9">
        <f>Tableau1[[#This Row],[bénéfice]]*Tableau1[[#This Row],[% dons]]</f>
        <v>0.32937916666666667</v>
      </c>
      <c r="P2" s="8">
        <v>0.1</v>
      </c>
      <c r="Q2" s="10">
        <f>Tableau1[[#This Row],[bénéfice]]-Tableau1[[#This Row],[dont asso]]</f>
        <v>2.9644124999999999</v>
      </c>
      <c r="R2" s="2"/>
      <c r="S2" s="2"/>
      <c r="T2" s="2" t="s">
        <v>12</v>
      </c>
      <c r="U2" s="3">
        <v>0.15</v>
      </c>
      <c r="V2" s="2"/>
      <c r="W2" s="2"/>
      <c r="X2" s="2"/>
      <c r="Y2" s="2"/>
      <c r="Z2" s="2"/>
    </row>
    <row r="3" spans="1:26" ht="30" x14ac:dyDescent="0.25">
      <c r="A3" s="1" t="s">
        <v>4</v>
      </c>
      <c r="B3" s="1" t="s">
        <v>5</v>
      </c>
      <c r="C3" s="1"/>
      <c r="D3" s="47" t="s">
        <v>2</v>
      </c>
      <c r="E3" s="1">
        <v>144.35</v>
      </c>
      <c r="F3" s="1">
        <v>0.27152777777777776</v>
      </c>
      <c r="G3" s="9">
        <f t="shared" si="0"/>
        <v>4.7980416666666663</v>
      </c>
      <c r="H3" s="11">
        <v>15</v>
      </c>
      <c r="I3" s="9">
        <f>Tableau1[[#This Row],[PVU]]*$U$4</f>
        <v>3.1799999999999997</v>
      </c>
      <c r="J3" s="9">
        <f>H3-I3-G3</f>
        <v>7.021958333333334</v>
      </c>
      <c r="K3" s="1"/>
      <c r="L3" s="1"/>
      <c r="M3" s="1"/>
      <c r="N3" s="1"/>
      <c r="O3" s="9">
        <f>Tableau1[[#This Row],[bénéfice]]*Tableau1[[#This Row],[% dons]]</f>
        <v>0.70219583333333346</v>
      </c>
      <c r="P3" s="8">
        <v>0.1</v>
      </c>
      <c r="Q3" s="10">
        <f>Tableau1[[#This Row],[bénéfice]]-Tableau1[[#This Row],[dont asso]]</f>
        <v>6.3197625000000004</v>
      </c>
      <c r="R3" s="2"/>
      <c r="S3" s="2"/>
      <c r="T3" s="2" t="s">
        <v>15</v>
      </c>
      <c r="U3" s="3">
        <v>0.16</v>
      </c>
      <c r="X3" s="2"/>
      <c r="Y3" s="2"/>
      <c r="Z3" s="2"/>
    </row>
    <row r="4" spans="1:26" ht="30" x14ac:dyDescent="0.25">
      <c r="A4" s="1" t="s">
        <v>6</v>
      </c>
      <c r="B4" s="1" t="s">
        <v>7</v>
      </c>
      <c r="C4" s="1"/>
      <c r="D4" s="47" t="s">
        <v>2</v>
      </c>
      <c r="E4" s="1">
        <v>1.17</v>
      </c>
      <c r="F4" s="1">
        <v>0.16250000000000001</v>
      </c>
      <c r="G4" s="9">
        <f t="shared" si="0"/>
        <v>0.7410000000000001</v>
      </c>
      <c r="H4" s="11">
        <v>2</v>
      </c>
      <c r="I4" s="9">
        <f>Tableau1[[#This Row],[PVU]]*$U$4</f>
        <v>0.42399999999999999</v>
      </c>
      <c r="J4" s="9">
        <f t="shared" ref="J4:J7" si="1">H4-I4-G4</f>
        <v>0.83499999999999996</v>
      </c>
      <c r="K4" s="1"/>
      <c r="L4" s="1"/>
      <c r="M4" s="1"/>
      <c r="N4" s="1"/>
      <c r="O4" s="9">
        <f>Tableau1[[#This Row],[bénéfice]]*Tableau1[[#This Row],[% dons]]</f>
        <v>0.41749999999999998</v>
      </c>
      <c r="P4" s="8">
        <v>0.5</v>
      </c>
      <c r="Q4" s="10">
        <f>Tableau1[[#This Row],[bénéfice]]-Tableau1[[#This Row],[dont asso]]</f>
        <v>0.41749999999999998</v>
      </c>
      <c r="R4" s="2"/>
      <c r="S4" s="2"/>
      <c r="T4" s="2" t="s">
        <v>25</v>
      </c>
      <c r="U4" s="2">
        <v>0.21199999999999999</v>
      </c>
      <c r="X4" s="2"/>
      <c r="Y4" s="2"/>
      <c r="Z4" s="2"/>
    </row>
    <row r="5" spans="1:26" ht="30" x14ac:dyDescent="0.25">
      <c r="A5" s="1" t="s">
        <v>9</v>
      </c>
      <c r="B5" s="1" t="s">
        <v>10</v>
      </c>
      <c r="C5" s="1"/>
      <c r="D5" s="47" t="s">
        <v>11</v>
      </c>
      <c r="E5" s="1">
        <v>18.440000000000001</v>
      </c>
      <c r="F5" s="1">
        <v>3.0555555555555555E-2</v>
      </c>
      <c r="G5" s="9">
        <f t="shared" si="0"/>
        <v>0.59483333333333344</v>
      </c>
      <c r="H5" s="11">
        <v>5</v>
      </c>
      <c r="I5" s="9">
        <f>Tableau1[[#This Row],[PVU]]*$U$4</f>
        <v>1.06</v>
      </c>
      <c r="J5" s="9">
        <f t="shared" si="1"/>
        <v>3.3451666666666666</v>
      </c>
      <c r="K5" s="1"/>
      <c r="L5" s="1">
        <v>12.74</v>
      </c>
      <c r="M5" s="1">
        <v>5.71</v>
      </c>
      <c r="N5" s="1">
        <v>1</v>
      </c>
      <c r="O5" s="9">
        <f>Tableau1[[#This Row],[bénéfice]]*Tableau1[[#This Row],[% dons]]</f>
        <v>0.33451666666666668</v>
      </c>
      <c r="P5" s="8">
        <v>0.1</v>
      </c>
      <c r="Q5" s="10">
        <f>Tableau1[[#This Row],[bénéfice]]-Tableau1[[#This Row],[dont asso]]</f>
        <v>3.01065</v>
      </c>
      <c r="R5" s="2"/>
      <c r="S5" s="2"/>
      <c r="T5" s="2"/>
      <c r="U5" s="2"/>
      <c r="X5" s="2"/>
      <c r="Y5" s="2"/>
      <c r="Z5" s="2"/>
    </row>
    <row r="6" spans="1:26" x14ac:dyDescent="0.25">
      <c r="A6" s="1" t="s">
        <v>13</v>
      </c>
      <c r="B6" s="1" t="s">
        <v>14</v>
      </c>
      <c r="C6" s="1"/>
      <c r="D6" s="47" t="s">
        <v>2</v>
      </c>
      <c r="E6" s="1">
        <v>18.399999999999999</v>
      </c>
      <c r="F6" s="1">
        <v>6.5277777777777782E-2</v>
      </c>
      <c r="G6" s="9">
        <f t="shared" si="0"/>
        <v>0.74591666666666667</v>
      </c>
      <c r="H6" s="11">
        <v>4</v>
      </c>
      <c r="I6" s="9">
        <f>Tableau1[[#This Row],[PVU]]*$U$4</f>
        <v>0.84799999999999998</v>
      </c>
      <c r="J6" s="9">
        <f t="shared" si="1"/>
        <v>2.4060833333333336</v>
      </c>
      <c r="K6" s="1"/>
      <c r="L6" s="1"/>
      <c r="M6" s="1"/>
      <c r="N6" s="1"/>
      <c r="O6" s="9">
        <f>Tableau1[[#This Row],[bénéfice]]*Tableau1[[#This Row],[% dons]]</f>
        <v>0.24060833333333337</v>
      </c>
      <c r="P6" s="8">
        <v>0.1</v>
      </c>
      <c r="Q6" s="10">
        <f>Tableau1[[#This Row],[bénéfice]]-Tableau1[[#This Row],[dont asso]]</f>
        <v>2.1654750000000003</v>
      </c>
      <c r="R6" s="2"/>
      <c r="S6" s="2"/>
      <c r="T6" s="2"/>
      <c r="U6" s="2"/>
      <c r="V6" s="2"/>
      <c r="W6" s="2"/>
      <c r="X6" s="2"/>
      <c r="Y6" s="2"/>
      <c r="Z6" s="2"/>
    </row>
    <row r="7" spans="1:26" x14ac:dyDescent="0.25">
      <c r="A7" s="1" t="s">
        <v>16</v>
      </c>
      <c r="B7" s="1" t="s">
        <v>17</v>
      </c>
      <c r="C7" s="1"/>
      <c r="D7" s="47" t="s">
        <v>2</v>
      </c>
      <c r="E7" s="1">
        <v>18.86</v>
      </c>
      <c r="F7" s="6">
        <v>7.9861111111111105E-2</v>
      </c>
      <c r="G7" s="9">
        <f t="shared" si="0"/>
        <v>0.82129166666666664</v>
      </c>
      <c r="H7" s="11">
        <v>4</v>
      </c>
      <c r="I7" s="9">
        <f>Tableau1[[#This Row],[PVU]]*$U$4</f>
        <v>0.84799999999999998</v>
      </c>
      <c r="J7" s="9">
        <f t="shared" si="1"/>
        <v>2.3307083333333334</v>
      </c>
      <c r="K7" s="1"/>
      <c r="L7" s="1"/>
      <c r="M7" s="1"/>
      <c r="N7" s="1"/>
      <c r="O7" s="9">
        <f>Tableau1[[#This Row],[bénéfice]]*Tableau1[[#This Row],[% dons]]</f>
        <v>0.23307083333333334</v>
      </c>
      <c r="P7" s="8">
        <v>0.1</v>
      </c>
      <c r="Q7" s="10">
        <f>Tableau1[[#This Row],[bénéfice]]-Tableau1[[#This Row],[dont asso]]</f>
        <v>2.0976375000000003</v>
      </c>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4"/>
      <c r="U8" s="5"/>
      <c r="V8" s="2"/>
      <c r="W8" s="2"/>
      <c r="X8" s="2"/>
    </row>
    <row r="9" spans="1:26" x14ac:dyDescent="0.25">
      <c r="A9" s="2"/>
      <c r="B9" s="2"/>
      <c r="C9" s="2"/>
      <c r="D9" s="2"/>
      <c r="E9" s="2"/>
      <c r="F9" s="2"/>
      <c r="G9" s="2"/>
      <c r="H9" s="2"/>
      <c r="I9" s="2"/>
      <c r="J9" s="2"/>
      <c r="K9" s="2"/>
      <c r="L9" s="2"/>
      <c r="M9" s="2"/>
      <c r="N9" s="2"/>
      <c r="O9" s="2"/>
      <c r="P9" s="2"/>
      <c r="Q9" s="2"/>
      <c r="R9" s="2"/>
      <c r="S9" s="2"/>
      <c r="T9" s="4"/>
      <c r="U9" s="5"/>
      <c r="V9" s="2"/>
      <c r="W9" s="2"/>
      <c r="X9" s="2"/>
    </row>
    <row r="10" spans="1:26" x14ac:dyDescent="0.25">
      <c r="A10" s="2"/>
      <c r="B10" s="2"/>
      <c r="C10" s="2"/>
      <c r="D10" s="2"/>
      <c r="E10" s="2"/>
      <c r="F10" s="2"/>
      <c r="G10" s="2"/>
      <c r="H10" s="2"/>
      <c r="I10" s="2"/>
      <c r="J10" s="2"/>
      <c r="K10" s="2"/>
      <c r="L10" s="2"/>
      <c r="M10" s="2"/>
      <c r="N10" s="2"/>
      <c r="O10" s="2"/>
      <c r="P10" s="2"/>
      <c r="Q10" s="2"/>
      <c r="R10" s="2"/>
      <c r="S10" s="2"/>
      <c r="T10" s="2"/>
      <c r="U10" s="2"/>
      <c r="V10" s="2"/>
      <c r="W10" s="2"/>
      <c r="X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row>
    <row r="12" spans="1:26" x14ac:dyDescent="0.25">
      <c r="A12" s="2"/>
      <c r="B12" s="2"/>
      <c r="C12" s="2"/>
      <c r="D12" s="2"/>
      <c r="E12" s="2"/>
      <c r="F12" s="2"/>
      <c r="G12" s="2"/>
      <c r="H12" s="2"/>
      <c r="I12" s="2"/>
      <c r="J12" s="2"/>
      <c r="K12" s="2"/>
      <c r="L12" s="2"/>
      <c r="M12" s="2"/>
      <c r="N12" s="2"/>
      <c r="O12" s="2"/>
      <c r="P12" s="2"/>
      <c r="Q12" s="2"/>
      <c r="R12" s="2"/>
      <c r="S12" s="2"/>
      <c r="T12" s="2"/>
      <c r="U12" s="2"/>
      <c r="V12" s="2"/>
      <c r="W12" s="2"/>
      <c r="X12" s="2"/>
    </row>
    <row r="13" spans="1:26" x14ac:dyDescent="0.25">
      <c r="A13" s="2"/>
      <c r="B13" s="2"/>
      <c r="C13" s="2"/>
      <c r="D13" s="2"/>
      <c r="E13" s="2"/>
      <c r="F13" s="2"/>
      <c r="G13" s="2"/>
      <c r="H13" s="2"/>
      <c r="I13" s="2"/>
      <c r="J13" s="2"/>
      <c r="K13" s="2"/>
      <c r="L13" s="2"/>
      <c r="M13" s="2"/>
      <c r="N13" s="2"/>
      <c r="O13" s="2"/>
      <c r="P13" s="2"/>
      <c r="Q13" s="2"/>
      <c r="R13" s="2"/>
      <c r="S13" s="2"/>
      <c r="T13" s="2"/>
      <c r="U13" s="2"/>
      <c r="V13" s="2"/>
      <c r="W13" s="2"/>
      <c r="X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row>
    <row r="15" spans="1:26" x14ac:dyDescent="0.25">
      <c r="A15" s="2"/>
      <c r="B15" s="2"/>
      <c r="C15" s="2"/>
      <c r="D15" s="2"/>
      <c r="E15" s="2"/>
      <c r="F15" s="2"/>
      <c r="G15" s="2"/>
      <c r="H15" s="2"/>
      <c r="I15" s="2"/>
      <c r="J15" s="2"/>
      <c r="K15" s="2"/>
      <c r="L15" s="2"/>
      <c r="M15" s="2"/>
      <c r="N15" s="2"/>
      <c r="O15" s="2"/>
      <c r="P15" s="2"/>
      <c r="Q15" s="2"/>
      <c r="R15" s="2"/>
      <c r="S15" s="2"/>
      <c r="T15" s="2"/>
      <c r="U15" s="2"/>
      <c r="V15" s="2"/>
      <c r="W15" s="2"/>
      <c r="X1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E4FEB-1F95-4061-91E5-8B19782CFDAB}">
  <dimension ref="A1:G31"/>
  <sheetViews>
    <sheetView workbookViewId="0">
      <selection activeCell="E27" sqref="E27"/>
    </sheetView>
  </sheetViews>
  <sheetFormatPr baseColWidth="10" defaultColWidth="9.140625" defaultRowHeight="15" x14ac:dyDescent="0.25"/>
  <cols>
    <col min="1" max="1" width="38" customWidth="1"/>
    <col min="2" max="2" width="16" customWidth="1"/>
    <col min="3" max="3" width="28" customWidth="1"/>
    <col min="4" max="7" width="18" customWidth="1"/>
  </cols>
  <sheetData>
    <row r="1" spans="1:7" ht="39.950000000000003" customHeight="1" x14ac:dyDescent="0.25">
      <c r="A1" s="42" t="s">
        <v>81</v>
      </c>
      <c r="B1" s="43"/>
      <c r="C1" s="43"/>
      <c r="D1" s="43"/>
      <c r="E1" s="43"/>
      <c r="F1" s="43"/>
      <c r="G1" s="43"/>
    </row>
    <row r="3" spans="1:7" ht="15.75" x14ac:dyDescent="0.25">
      <c r="A3" s="44" t="s">
        <v>80</v>
      </c>
      <c r="B3" s="43"/>
      <c r="C3" s="43"/>
    </row>
    <row r="4" spans="1:7" ht="15.75" thickBot="1" x14ac:dyDescent="0.3">
      <c r="A4" s="15" t="s">
        <v>79</v>
      </c>
      <c r="B4" s="15" t="s">
        <v>55</v>
      </c>
      <c r="C4" s="15" t="s">
        <v>78</v>
      </c>
    </row>
    <row r="5" spans="1:7" x14ac:dyDescent="0.25">
      <c r="A5" s="14" t="s">
        <v>77</v>
      </c>
      <c r="B5" s="30">
        <v>0.21199999999999999</v>
      </c>
      <c r="C5" s="20" t="s">
        <v>76</v>
      </c>
    </row>
    <row r="6" spans="1:7" x14ac:dyDescent="0.25">
      <c r="A6" s="14" t="s">
        <v>75</v>
      </c>
      <c r="B6" s="28">
        <v>0.16</v>
      </c>
      <c r="C6" s="20" t="s">
        <v>74</v>
      </c>
    </row>
    <row r="7" spans="1:7" x14ac:dyDescent="0.25">
      <c r="A7" s="14" t="s">
        <v>73</v>
      </c>
      <c r="B7" s="28">
        <v>0.15</v>
      </c>
      <c r="C7" s="20" t="s">
        <v>72</v>
      </c>
    </row>
    <row r="8" spans="1:7" x14ac:dyDescent="0.25">
      <c r="A8" s="14" t="s">
        <v>71</v>
      </c>
      <c r="B8" s="29">
        <v>150</v>
      </c>
      <c r="C8" s="20" t="s">
        <v>70</v>
      </c>
    </row>
    <row r="9" spans="1:7" x14ac:dyDescent="0.25">
      <c r="A9" s="14" t="s">
        <v>69</v>
      </c>
      <c r="B9" s="28">
        <v>25</v>
      </c>
      <c r="C9" s="20" t="s">
        <v>68</v>
      </c>
    </row>
    <row r="11" spans="1:7" ht="15.75" x14ac:dyDescent="0.25">
      <c r="A11" s="44" t="s">
        <v>67</v>
      </c>
      <c r="B11" s="43"/>
      <c r="C11" s="43"/>
      <c r="D11" s="43"/>
      <c r="E11" s="43"/>
      <c r="F11" s="43"/>
      <c r="G11" s="43"/>
    </row>
    <row r="12" spans="1:7" ht="15.75" thickBot="1" x14ac:dyDescent="0.3">
      <c r="A12" s="15" t="s">
        <v>66</v>
      </c>
      <c r="B12" s="15" t="s">
        <v>65</v>
      </c>
      <c r="C12" s="15" t="s">
        <v>64</v>
      </c>
      <c r="D12" s="15" t="s">
        <v>63</v>
      </c>
      <c r="E12" s="15" t="s">
        <v>62</v>
      </c>
      <c r="F12" s="15" t="s">
        <v>51</v>
      </c>
      <c r="G12" s="15" t="s">
        <v>50</v>
      </c>
    </row>
    <row r="13" spans="1:7" x14ac:dyDescent="0.25">
      <c r="A13" s="25" t="s">
        <v>61</v>
      </c>
      <c r="B13" s="26">
        <v>15</v>
      </c>
      <c r="C13" s="27">
        <v>0.5</v>
      </c>
      <c r="D13" s="23">
        <f>B13*C13</f>
        <v>7.5</v>
      </c>
      <c r="E13" s="26">
        <v>15</v>
      </c>
      <c r="F13" s="23">
        <f>E13*$B$5</f>
        <v>3.1799999999999997</v>
      </c>
      <c r="G13" s="23">
        <f>E13-D13-F13</f>
        <v>4.32</v>
      </c>
    </row>
    <row r="14" spans="1:7" x14ac:dyDescent="0.25">
      <c r="A14" s="25" t="s">
        <v>60</v>
      </c>
      <c r="B14" s="26">
        <v>20</v>
      </c>
      <c r="C14" s="27">
        <v>1</v>
      </c>
      <c r="D14" s="23">
        <f>B14*C14</f>
        <v>20</v>
      </c>
      <c r="E14" s="26">
        <v>30</v>
      </c>
      <c r="F14" s="23">
        <f>E14*$B$5</f>
        <v>6.3599999999999994</v>
      </c>
      <c r="G14" s="23">
        <f>E14-D14-F14</f>
        <v>3.6400000000000006</v>
      </c>
    </row>
    <row r="15" spans="1:7" x14ac:dyDescent="0.25">
      <c r="A15" s="25" t="s">
        <v>59</v>
      </c>
      <c r="B15" s="26">
        <v>20</v>
      </c>
      <c r="C15" s="27">
        <v>2</v>
      </c>
      <c r="D15" s="23">
        <f>B15*C15</f>
        <v>40</v>
      </c>
      <c r="E15" s="26">
        <v>45</v>
      </c>
      <c r="F15" s="23">
        <f>E15*$B$5</f>
        <v>9.5399999999999991</v>
      </c>
      <c r="G15" s="23">
        <f>E15-D15-F15</f>
        <v>-4.5399999999999991</v>
      </c>
    </row>
    <row r="16" spans="1:7" x14ac:dyDescent="0.25">
      <c r="A16" s="25" t="s">
        <v>58</v>
      </c>
      <c r="B16" s="23">
        <v>0</v>
      </c>
      <c r="C16" s="24">
        <v>0</v>
      </c>
      <c r="D16" s="23">
        <f>B16*C16</f>
        <v>0</v>
      </c>
      <c r="E16" s="23">
        <v>0</v>
      </c>
      <c r="F16" s="23">
        <f>E16*$B$5</f>
        <v>0</v>
      </c>
      <c r="G16" s="23">
        <f>E16-D16-F16</f>
        <v>0</v>
      </c>
    </row>
    <row r="18" spans="1:7" ht="15.75" x14ac:dyDescent="0.25">
      <c r="A18" s="44" t="s">
        <v>57</v>
      </c>
      <c r="B18" s="43"/>
      <c r="C18" s="43"/>
      <c r="D18" s="43"/>
      <c r="E18" s="43"/>
      <c r="F18" s="43"/>
      <c r="G18" s="43"/>
    </row>
    <row r="19" spans="1:7" ht="15.75" thickBot="1" x14ac:dyDescent="0.3">
      <c r="A19" s="15" t="s">
        <v>56</v>
      </c>
      <c r="B19" s="15" t="s">
        <v>55</v>
      </c>
      <c r="C19" s="15" t="s">
        <v>54</v>
      </c>
      <c r="D19" s="15" t="s">
        <v>53</v>
      </c>
      <c r="E19" s="15" t="s">
        <v>52</v>
      </c>
      <c r="F19" s="15" t="s">
        <v>51</v>
      </c>
      <c r="G19" s="15" t="s">
        <v>50</v>
      </c>
    </row>
    <row r="20" spans="1:7" x14ac:dyDescent="0.25">
      <c r="A20" s="14" t="s">
        <v>49</v>
      </c>
      <c r="B20" s="22">
        <v>150</v>
      </c>
      <c r="C20" s="20" t="s">
        <v>48</v>
      </c>
      <c r="D20" s="18"/>
      <c r="E20" s="18"/>
      <c r="F20" s="18"/>
      <c r="G20" s="18"/>
    </row>
    <row r="21" spans="1:7" x14ac:dyDescent="0.25">
      <c r="A21" s="14" t="s">
        <v>47</v>
      </c>
      <c r="B21" s="21" t="s">
        <v>46</v>
      </c>
      <c r="C21" s="20" t="s">
        <v>45</v>
      </c>
      <c r="D21" s="18"/>
      <c r="E21" s="18"/>
      <c r="F21" s="18"/>
      <c r="G21" s="18"/>
    </row>
    <row r="22" spans="1:7" x14ac:dyDescent="0.25">
      <c r="A22" s="14" t="s">
        <v>44</v>
      </c>
      <c r="B22" s="18"/>
      <c r="C22" s="18"/>
      <c r="D22" s="12">
        <f>(B20/1000)*$B$9</f>
        <v>3.75</v>
      </c>
      <c r="E22" s="18"/>
      <c r="F22" s="18"/>
      <c r="G22" s="18"/>
    </row>
    <row r="23" spans="1:7" x14ac:dyDescent="0.25">
      <c r="A23" s="14" t="s">
        <v>43</v>
      </c>
      <c r="B23" s="18"/>
      <c r="C23" s="18"/>
      <c r="D23" s="12">
        <f>((HOUR(B21)+MINUTE(B21)/60)*($B$8/1000))*$B$7</f>
        <v>0.14662499999999998</v>
      </c>
      <c r="E23" s="18"/>
      <c r="F23" s="18"/>
      <c r="G23" s="18"/>
    </row>
    <row r="24" spans="1:7" x14ac:dyDescent="0.25">
      <c r="A24" s="14" t="s">
        <v>42</v>
      </c>
      <c r="B24" s="18"/>
      <c r="C24" s="18"/>
      <c r="D24" s="12">
        <f>(HOUR(B21)+MINUTE(B21)/60)*$B$6</f>
        <v>1.0426666666666666</v>
      </c>
      <c r="E24" s="18"/>
      <c r="F24" s="18"/>
      <c r="G24" s="18"/>
    </row>
    <row r="25" spans="1:7" x14ac:dyDescent="0.25">
      <c r="A25" s="19" t="s">
        <v>41</v>
      </c>
      <c r="B25" s="18"/>
      <c r="C25" s="18"/>
      <c r="D25" s="12">
        <f>D22+D23+D24</f>
        <v>4.9392916666666666</v>
      </c>
      <c r="E25" s="17">
        <v>30</v>
      </c>
      <c r="F25" s="12">
        <f>E25*$B$5</f>
        <v>6.3599999999999994</v>
      </c>
      <c r="G25" s="12">
        <f>E25-D25-F25</f>
        <v>18.700708333333335</v>
      </c>
    </row>
    <row r="28" spans="1:7" ht="15.75" x14ac:dyDescent="0.25">
      <c r="A28" s="44" t="s">
        <v>40</v>
      </c>
      <c r="B28" s="43"/>
      <c r="C28" s="43"/>
      <c r="D28" s="43"/>
      <c r="E28" s="43"/>
      <c r="F28" s="43"/>
      <c r="G28" s="43"/>
    </row>
    <row r="29" spans="1:7" ht="15.75" thickBot="1" x14ac:dyDescent="0.3">
      <c r="A29" s="15" t="s">
        <v>39</v>
      </c>
      <c r="B29" s="15" t="s">
        <v>38</v>
      </c>
      <c r="C29" s="15" t="s">
        <v>37</v>
      </c>
      <c r="D29" s="15" t="s">
        <v>36</v>
      </c>
    </row>
    <row r="30" spans="1:7" x14ac:dyDescent="0.25">
      <c r="A30" s="14" t="s">
        <v>35</v>
      </c>
      <c r="B30" s="12">
        <v>16.899999999999999</v>
      </c>
      <c r="C30" s="13">
        <v>25</v>
      </c>
      <c r="D30" s="12">
        <f>C30-B30</f>
        <v>8.1000000000000014</v>
      </c>
    </row>
    <row r="31" spans="1:7" x14ac:dyDescent="0.25">
      <c r="A31" s="14" t="s">
        <v>34</v>
      </c>
      <c r="B31" s="12">
        <v>22</v>
      </c>
      <c r="C31" s="13">
        <v>32</v>
      </c>
      <c r="D31" s="12">
        <f>C31-B31</f>
        <v>10</v>
      </c>
    </row>
  </sheetData>
  <mergeCells count="5">
    <mergeCell ref="A1:G1"/>
    <mergeCell ref="A18:G18"/>
    <mergeCell ref="A3:C3"/>
    <mergeCell ref="A11:G11"/>
    <mergeCell ref="A28:G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33BE-EABE-48E2-9697-BA4BA33D3938}">
  <dimension ref="A1:F21"/>
  <sheetViews>
    <sheetView workbookViewId="0">
      <selection activeCell="B24" sqref="B24"/>
    </sheetView>
  </sheetViews>
  <sheetFormatPr baseColWidth="10" defaultColWidth="9.140625" defaultRowHeight="15" x14ac:dyDescent="0.25"/>
  <cols>
    <col min="1" max="1" width="14" customWidth="1"/>
    <col min="2" max="2" width="42" customWidth="1"/>
    <col min="3" max="3" width="24" customWidth="1"/>
    <col min="4" max="4" width="10" customWidth="1"/>
    <col min="5" max="6" width="18" customWidth="1"/>
  </cols>
  <sheetData>
    <row r="1" spans="1:6" ht="39.950000000000003" customHeight="1" x14ac:dyDescent="0.25">
      <c r="A1" s="42" t="s">
        <v>106</v>
      </c>
      <c r="B1" s="43"/>
      <c r="C1" s="43"/>
      <c r="D1" s="43"/>
      <c r="E1" s="43"/>
      <c r="F1" s="43"/>
    </row>
    <row r="3" spans="1:6" ht="15.75" x14ac:dyDescent="0.25">
      <c r="A3" s="16" t="s">
        <v>105</v>
      </c>
      <c r="D3" s="16" t="s">
        <v>104</v>
      </c>
    </row>
    <row r="4" spans="1:6" ht="69.95" customHeight="1" x14ac:dyDescent="0.25">
      <c r="A4" s="41" t="s">
        <v>103</v>
      </c>
      <c r="D4" s="41" t="s">
        <v>102</v>
      </c>
    </row>
    <row r="7" spans="1:6" ht="15.75" x14ac:dyDescent="0.25">
      <c r="A7" s="44" t="s">
        <v>101</v>
      </c>
      <c r="B7" s="43"/>
      <c r="C7" s="43"/>
      <c r="D7" s="43"/>
      <c r="E7" s="43"/>
      <c r="F7" s="43"/>
    </row>
    <row r="8" spans="1:6" ht="15.75" thickBot="1" x14ac:dyDescent="0.3">
      <c r="A8" s="15" t="s">
        <v>100</v>
      </c>
      <c r="B8" s="15" t="s">
        <v>99</v>
      </c>
      <c r="C8" s="15" t="s">
        <v>98</v>
      </c>
      <c r="D8" s="15" t="s">
        <v>97</v>
      </c>
      <c r="E8" s="15" t="s">
        <v>96</v>
      </c>
      <c r="F8" s="15" t="s">
        <v>95</v>
      </c>
    </row>
    <row r="9" spans="1:6" x14ac:dyDescent="0.25">
      <c r="A9" s="39" t="s">
        <v>94</v>
      </c>
      <c r="B9" s="14" t="s">
        <v>93</v>
      </c>
      <c r="C9" s="40" t="s">
        <v>59</v>
      </c>
      <c r="D9" s="37">
        <v>1</v>
      </c>
      <c r="E9" s="23">
        <f>VLOOKUP(C9, 'Calculs &amp; Barème'!$A$13:$E$15, 5, FALSE)</f>
        <v>45</v>
      </c>
      <c r="F9" s="23">
        <f>D9*E9</f>
        <v>45</v>
      </c>
    </row>
    <row r="10" spans="1:6" x14ac:dyDescent="0.25">
      <c r="A10" s="39" t="s">
        <v>92</v>
      </c>
      <c r="B10" s="14" t="s">
        <v>91</v>
      </c>
      <c r="C10" s="38" t="s">
        <v>86</v>
      </c>
      <c r="D10" s="37">
        <v>1</v>
      </c>
      <c r="E10" s="23">
        <v>0</v>
      </c>
      <c r="F10" s="23">
        <f>D10*E10</f>
        <v>0</v>
      </c>
    </row>
    <row r="11" spans="1:6" x14ac:dyDescent="0.25">
      <c r="A11" s="39" t="s">
        <v>90</v>
      </c>
      <c r="B11" s="14" t="s">
        <v>89</v>
      </c>
      <c r="C11" s="38" t="s">
        <v>86</v>
      </c>
      <c r="D11" s="37">
        <v>1</v>
      </c>
      <c r="E11" s="23">
        <f>IF(C11="Oui", 'Calculs &amp; Barème'!E25, 0)</f>
        <v>30</v>
      </c>
      <c r="F11" s="23">
        <f>D11*E11</f>
        <v>30</v>
      </c>
    </row>
    <row r="12" spans="1:6" x14ac:dyDescent="0.25">
      <c r="A12" s="39" t="s">
        <v>88</v>
      </c>
      <c r="B12" s="14" t="s">
        <v>87</v>
      </c>
      <c r="C12" s="38" t="s">
        <v>86</v>
      </c>
      <c r="D12" s="37">
        <v>1</v>
      </c>
      <c r="E12" s="23">
        <f>IF(AND(C12="Oui", C11="Oui"), 'Calculs &amp; Barème'!C30, 0)</f>
        <v>25</v>
      </c>
      <c r="F12" s="23">
        <f>D12*E12</f>
        <v>25</v>
      </c>
    </row>
    <row r="14" spans="1:6" x14ac:dyDescent="0.25">
      <c r="E14" s="36" t="s">
        <v>85</v>
      </c>
      <c r="F14" s="35">
        <f>SUM(F9:F12)</f>
        <v>100</v>
      </c>
    </row>
    <row r="15" spans="1:6" x14ac:dyDescent="0.25">
      <c r="E15" s="34" t="s">
        <v>84</v>
      </c>
      <c r="F15" s="33">
        <v>0</v>
      </c>
    </row>
    <row r="16" spans="1:6" ht="21" x14ac:dyDescent="0.25">
      <c r="E16" s="32" t="s">
        <v>83</v>
      </c>
      <c r="F16" s="31">
        <f>F14+F15</f>
        <v>100</v>
      </c>
    </row>
    <row r="18" spans="1:6" x14ac:dyDescent="0.25">
      <c r="A18" s="45" t="s">
        <v>82</v>
      </c>
      <c r="B18" s="46"/>
      <c r="C18" s="46"/>
      <c r="D18" s="46"/>
      <c r="E18" s="46"/>
      <c r="F18" s="46"/>
    </row>
    <row r="19" spans="1:6" x14ac:dyDescent="0.25">
      <c r="A19" s="46"/>
      <c r="B19" s="46"/>
      <c r="C19" s="46"/>
      <c r="D19" s="46"/>
      <c r="E19" s="46"/>
      <c r="F19" s="46"/>
    </row>
    <row r="20" spans="1:6" x14ac:dyDescent="0.25">
      <c r="A20" s="46"/>
      <c r="B20" s="46"/>
      <c r="C20" s="46"/>
      <c r="D20" s="46"/>
      <c r="E20" s="46"/>
      <c r="F20" s="46"/>
    </row>
    <row r="21" spans="1:6" x14ac:dyDescent="0.25">
      <c r="A21" s="46"/>
      <c r="B21" s="46"/>
      <c r="C21" s="46"/>
      <c r="D21" s="46"/>
      <c r="E21" s="46"/>
      <c r="F21" s="46"/>
    </row>
  </sheetData>
  <mergeCells count="3">
    <mergeCell ref="A1:F1"/>
    <mergeCell ref="A7:F7"/>
    <mergeCell ref="A18:F21"/>
  </mergeCells>
  <dataValidations count="2">
    <dataValidation type="list" sqref="C10:C12" xr:uid="{00000000-0002-0000-0100-000001000000}">
      <formula1>"Oui,Non"</formula1>
    </dataValidation>
    <dataValidation type="list" sqref="C9" xr:uid="{00000000-0002-0000-0100-000000000000}">
      <formula1>"Conception simple,Reproduction technique,Conception technique"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Produit</vt:lpstr>
      <vt:lpstr>Calculs &amp; Barème</vt:lpstr>
      <vt:lpstr>Devis Client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DUBLE Inaia</dc:creator>
  <cp:lastModifiedBy>DUBLE Inaia</cp:lastModifiedBy>
  <dcterms:created xsi:type="dcterms:W3CDTF">2026-07-17T20:04:19Z</dcterms:created>
  <dcterms:modified xsi:type="dcterms:W3CDTF">2026-08-02T14:29:51Z</dcterms:modified>
</cp:coreProperties>
</file>